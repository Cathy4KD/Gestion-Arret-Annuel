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catherine_fourcade_riotinto_com/Documents/ACIERIE AA/"/>
    </mc:Choice>
  </mc:AlternateContent>
  <xr:revisionPtr revIDLastSave="0" documentId="8_{6389DC89-D020-47CE-B9A2-910E7D43E843}" xr6:coauthVersionLast="47" xr6:coauthVersionMax="47" xr10:uidLastSave="{00000000-0000-0000-0000-000000000000}"/>
  <bookViews>
    <workbookView xWindow="-14010" yWindow="-16320" windowWidth="29040" windowHeight="15720" xr2:uid="{88D35734-4E9F-4252-B473-CCCD85E9D19E}"/>
  </bookViews>
  <sheets>
    <sheet name="AA-D3.1-Calendrier Préliminaire" sheetId="1" r:id="rId1"/>
  </sheets>
  <externalReferences>
    <externalReference r:id="rId2"/>
    <externalReference r:id="rId3"/>
  </externalReferences>
  <definedNames>
    <definedName name="avis_synd_EXT">[1]!Tableau4[#All]</definedName>
    <definedName name="Centre_cout">#REF!</definedName>
    <definedName name="code_position">OFFSET(#REF!,0,0,COUNTA(#REF!),2)</definedName>
    <definedName name="cundeux">#REF!</definedName>
    <definedName name="data_impact_fdf">OFFSET(#REF!,0,0,COUNTA(IDCount),COUNTA(#REF!))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férié">OFFSET(#REF!,,,COUNTA(#REF!)-1,)</definedName>
    <definedName name="feries">#REF!</definedName>
    <definedName name="Fériés">OFFSET(#REF!,1,,COUNTA(#REF!)-1,)</definedName>
    <definedName name="FévrierJour">#REF!</definedName>
    <definedName name="Filtre">#REF!</definedName>
    <definedName name="fin">#REF!</definedName>
    <definedName name="IDCount">#REF!</definedName>
    <definedName name="Jeudi">#REF!</definedName>
    <definedName name="Journée_matin">#REF!</definedName>
    <definedName name="Journée_Midi">#REF!</definedName>
    <definedName name="Jours_chômés">#REF!</definedName>
    <definedName name="Lateinit_BP">#REF!</definedName>
    <definedName name="Lig_Ref">#REF!</definedName>
    <definedName name="Liste_Choix_Catégories">OFFSET(#REF!,1,,COUNTA(#REF!)-1,)</definedName>
    <definedName name="Listes">'[2]Données '!$K$2:$K$9</definedName>
    <definedName name="Ma_Plage">#REF!,#REF!,#REF!,#REF!,#REF!,#REF!,#REF!,#REF!,#REF!,#REF!,#REF!,#REF!,#REF!,#REF!,#REF!,#REF!,#REF!,#REF!</definedName>
    <definedName name="MaPlage">#REF!,#REF!,#REF!,#REF!,#REF!,#REF!,#REF!,#REF!,#REF!,#REF!,#REF!,#REF!,#REF!,#REF!,#REF!,#REF!,#REF!,#REF!</definedName>
    <definedName name="MECEXT01">#REF!,#REF!,#REF!,#REF!</definedName>
    <definedName name="MECEXT02">#REF!,#REF!,#REF!,#REF!,#REF!,#REF!,#REF!,#REF!,#REF!,#REF!,#REF!,#REF!,#REF!,#REF!,#REF!,#REF!,#REF!,#REF!,#REF!</definedName>
    <definedName name="MECEXT05">#REF!,#REF!,#REF!,#REF!,#REF!,#REF!,#REF!,#REF!,#REF!,#REF!,#REF!,#REF!,#REF!,#REF!,#REF!,#REF!,#REF!,#REF!,#REF!,#REF!,#REF!,#REF!,#REF!,#REF!,#REF!,#REF!,#REF!,#REF!,#REF!,#REF!,#REF!,#REF!,#REF!</definedName>
    <definedName name="mémoire_congés">OFFSET(#REF!,0,0,COUNTA(#REF!),3)</definedName>
    <definedName name="Mercredi">#REF!</definedName>
    <definedName name="Mois_Année">#REF!</definedName>
    <definedName name="Mois_deb_planning">#REF!</definedName>
    <definedName name="month">#REF!</definedName>
    <definedName name="monthNames">#REF!</definedName>
    <definedName name="N_feuille_Planning">#REF!</definedName>
    <definedName name="nb_ligne_personnel">#REF!</definedName>
    <definedName name="NB_Personnel">#REF!</definedName>
    <definedName name="NS">#REF!</definedName>
    <definedName name="Ordres">IF(#REF!=Saisie du #REF!,#REF!,"")</definedName>
    <definedName name="Plage_Commentaire">#REF!,#REF!,#REF!,#REF!,#REF!,#REF!,#REF!,#REF!,#REF!,#REF!,#REF!,#REF!,#REF!,#REF!,#REF!,#REF!,#REF!,#REF!</definedName>
    <definedName name="Plage_mois1">#REF!,#REF!,#REF!,#REF!,#REF!,#REF!,#REF!</definedName>
    <definedName name="Plage_mois2">#REF!,#REF!,#REF!,#REF!,#REF!,#REF!,#REF!</definedName>
    <definedName name="Plage_mois3">#REF!,#REF!,#REF!,#REF!,#REF!,#REF!,#REF!</definedName>
    <definedName name="Plage_mois4">#REF!,#REF!,#REF!,#REF!,#REF!,#REF!,#REF!</definedName>
    <definedName name="Plage_mois5">#REF!,#REF!,#REF!,#REF!,#REF!,#REF!,#REF!</definedName>
    <definedName name="Plage_mois6">#REF!,#REF!,#REF!,#REF!,#REF!,#REF!,#REF!</definedName>
    <definedName name="Plage2">#REF!,#REF!,#REF!,#REF!,#REF!,#REF!,#REF!,#REF!,#REF!,#REF!,#REF!,#REF!,#REF!,#REF!,#REF!,#REF!,#REF!,#REF!</definedName>
    <definedName name="Planning_Personnel">OFFSET(#REF!,1,1,732,40)</definedName>
    <definedName name="Position_abs_apm">OFFSET(#REF!,1,,COUNTA(#REF!)-1,)</definedName>
    <definedName name="Position_abs_avm">OFFSET(#REF!,1,,COUNTA(#REF!)-1,)</definedName>
    <definedName name="Responsable">#REF!</definedName>
    <definedName name="Secteur">#REF!</definedName>
    <definedName name="Tab_Catégories">OFFSET(#REF!,1,,COUNTA(#REF!)-1,2)</definedName>
    <definedName name="Tache">#REF!</definedName>
    <definedName name="Template">{1,2,3,4,5,6,7}</definedName>
    <definedName name="template2">{1;2;3;4;5;6}</definedName>
    <definedName name="TEST0">#REF!</definedName>
    <definedName name="TESTHKEY">#REF!</definedName>
    <definedName name="TESTKEYS">#REF!</definedName>
    <definedName name="TESTVKEY">#REF!</definedName>
    <definedName name="valeur1">#REF!</definedName>
    <definedName name="valuevx">42.314159</definedName>
    <definedName name="vertex42_copyright" hidden="1">"© 2020 Vertex42 LLC"</definedName>
    <definedName name="vertex42_id" hidden="1">"budget-calendar-daily.xlsx"</definedName>
    <definedName name="vertex42_title" hidden="1">"Budget Calendar with Daily Balance"</definedName>
    <definedName name="WeekDay">{1,2,3,4,5,6,7}</definedName>
    <definedName name="WeekNo">{1;2;3;4;5;6}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5" i="1" l="1"/>
  <c r="J188" i="1"/>
  <c r="J174" i="1"/>
  <c r="J161" i="1"/>
  <c r="J136" i="1"/>
  <c r="J119" i="1"/>
  <c r="J115" i="1"/>
  <c r="J99" i="1"/>
  <c r="J90" i="1"/>
  <c r="J64" i="1"/>
  <c r="J35" i="1"/>
  <c r="S24" i="1"/>
  <c r="J20" i="1"/>
  <c r="J11" i="1"/>
  <c r="G8" i="1"/>
  <c r="C3" i="1"/>
  <c r="C35" i="1" s="1"/>
  <c r="AR1" i="1"/>
  <c r="AP1" i="1"/>
  <c r="AK1" i="1"/>
  <c r="AJ1" i="1"/>
  <c r="Z1" i="1"/>
  <c r="X1" i="1"/>
  <c r="V1" i="1"/>
  <c r="U1" i="1"/>
  <c r="C1" i="1"/>
  <c r="W1" i="1" l="1"/>
  <c r="AL1" i="1"/>
  <c r="C11" i="1"/>
  <c r="T16" i="1" s="1"/>
  <c r="C75" i="1"/>
  <c r="K88" i="1" s="1"/>
  <c r="Y1" i="1"/>
  <c r="AQ1" i="1"/>
  <c r="C44" i="1"/>
  <c r="C90" i="1"/>
  <c r="C161" i="1"/>
  <c r="K172" i="1" s="1"/>
  <c r="C174" i="1"/>
  <c r="K186" i="1" s="1"/>
  <c r="AD1" i="1"/>
  <c r="AS1" i="1"/>
  <c r="AE1" i="1"/>
  <c r="AT1" i="1"/>
  <c r="C51" i="1"/>
  <c r="C115" i="1"/>
  <c r="AF1" i="1"/>
  <c r="AU1" i="1"/>
  <c r="C188" i="1"/>
  <c r="AG1" i="1"/>
  <c r="AV1" i="1"/>
  <c r="C119" i="1"/>
  <c r="K133" i="1" s="1"/>
  <c r="AH1" i="1"/>
  <c r="AW1" i="1"/>
  <c r="C20" i="1"/>
  <c r="K22" i="1" s="1"/>
  <c r="AI1" i="1"/>
  <c r="AX1" i="1"/>
  <c r="C64" i="1"/>
  <c r="C136" i="1"/>
  <c r="K140" i="1" s="1"/>
  <c r="C99" i="1"/>
  <c r="T103" i="1" s="1"/>
  <c r="T156" i="1"/>
  <c r="T150" i="1"/>
  <c r="T144" i="1"/>
  <c r="T138" i="1"/>
  <c r="T50" i="1"/>
  <c r="K38" i="1"/>
  <c r="T131" i="1"/>
  <c r="T43" i="1"/>
  <c r="T155" i="1"/>
  <c r="T149" i="1"/>
  <c r="T143" i="1"/>
  <c r="T118" i="1"/>
  <c r="T49" i="1"/>
  <c r="K43" i="1"/>
  <c r="K37" i="1"/>
  <c r="T130" i="1"/>
  <c r="T124" i="1"/>
  <c r="T42" i="1"/>
  <c r="T160" i="1"/>
  <c r="T154" i="1"/>
  <c r="T148" i="1"/>
  <c r="T142" i="1"/>
  <c r="T117" i="1"/>
  <c r="T48" i="1"/>
  <c r="K42" i="1"/>
  <c r="T135" i="1"/>
  <c r="T129" i="1"/>
  <c r="T123" i="1"/>
  <c r="T41" i="1"/>
  <c r="T40" i="1"/>
  <c r="T157" i="1"/>
  <c r="T151" i="1"/>
  <c r="T145" i="1"/>
  <c r="T37" i="1"/>
  <c r="T159" i="1"/>
  <c r="T153" i="1"/>
  <c r="T147" i="1"/>
  <c r="T141" i="1"/>
  <c r="T47" i="1"/>
  <c r="K41" i="1"/>
  <c r="T158" i="1"/>
  <c r="T146" i="1"/>
  <c r="T140" i="1"/>
  <c r="T133" i="1"/>
  <c r="T127" i="1"/>
  <c r="T121" i="1"/>
  <c r="T39" i="1"/>
  <c r="T134" i="1"/>
  <c r="T128" i="1"/>
  <c r="T122" i="1"/>
  <c r="T152" i="1"/>
  <c r="K40" i="1"/>
  <c r="T132" i="1"/>
  <c r="T126" i="1"/>
  <c r="T125" i="1"/>
  <c r="T139" i="1"/>
  <c r="K39" i="1"/>
  <c r="T38" i="1"/>
  <c r="K32" i="1"/>
  <c r="T82" i="1"/>
  <c r="K209" i="1"/>
  <c r="I8" i="1" a="1"/>
  <c r="I8" i="1" s="1"/>
  <c r="K58" i="1"/>
  <c r="K199" i="1"/>
  <c r="K210" i="1"/>
  <c r="K200" i="1"/>
  <c r="K14" i="1"/>
  <c r="T57" i="1"/>
  <c r="T63" i="1"/>
  <c r="K70" i="1"/>
  <c r="T88" i="1"/>
  <c r="K95" i="1"/>
  <c r="K139" i="1"/>
  <c r="K145" i="1"/>
  <c r="K151" i="1"/>
  <c r="K157" i="1"/>
  <c r="K164" i="1"/>
  <c r="K198" i="1"/>
  <c r="T15" i="1"/>
  <c r="T46" i="1"/>
  <c r="K53" i="1"/>
  <c r="K59" i="1"/>
  <c r="K78" i="1"/>
  <c r="K212" i="1"/>
  <c r="T71" i="1"/>
  <c r="K84" i="1"/>
  <c r="K103" i="1"/>
  <c r="K34" i="1"/>
  <c r="T53" i="1"/>
  <c r="K72" i="1"/>
  <c r="T84" i="1"/>
  <c r="K97" i="1"/>
  <c r="T109" i="1"/>
  <c r="K141" i="1"/>
  <c r="K147" i="1"/>
  <c r="K153" i="1"/>
  <c r="K159" i="1"/>
  <c r="K190" i="1"/>
  <c r="K202" i="1"/>
  <c r="K213" i="1"/>
  <c r="K33" i="1"/>
  <c r="K46" i="1"/>
  <c r="T58" i="1"/>
  <c r="K71" i="1"/>
  <c r="T77" i="1"/>
  <c r="T83" i="1"/>
  <c r="T89" i="1"/>
  <c r="K96" i="1"/>
  <c r="T114" i="1"/>
  <c r="K146" i="1"/>
  <c r="K152" i="1"/>
  <c r="K158" i="1"/>
  <c r="K211" i="1"/>
  <c r="T96" i="1"/>
  <c r="K109" i="1"/>
  <c r="K201" i="1"/>
  <c r="AA1" i="1"/>
  <c r="AM1" i="1"/>
  <c r="T22" i="1"/>
  <c r="K47" i="1"/>
  <c r="AB1" i="1"/>
  <c r="AN1" i="1"/>
  <c r="H3" i="1"/>
  <c r="K23" i="1"/>
  <c r="K54" i="1"/>
  <c r="K60" i="1"/>
  <c r="T66" i="1"/>
  <c r="T72" i="1"/>
  <c r="K79" i="1"/>
  <c r="K85" i="1"/>
  <c r="K135" i="1"/>
  <c r="K169" i="1"/>
  <c r="K191" i="1"/>
  <c r="K203" i="1"/>
  <c r="K214" i="1"/>
  <c r="T81" i="1"/>
  <c r="T70" i="1"/>
  <c r="K77" i="1"/>
  <c r="K83" i="1"/>
  <c r="K89" i="1"/>
  <c r="K102" i="1"/>
  <c r="K108" i="1"/>
  <c r="K16" i="1"/>
  <c r="K28" i="1"/>
  <c r="T59" i="1"/>
  <c r="K66" i="1"/>
  <c r="T78" i="1"/>
  <c r="G9" i="1"/>
  <c r="T97" i="1"/>
  <c r="K110" i="1"/>
  <c r="AC1" i="1"/>
  <c r="AO1" i="1"/>
  <c r="I9" i="1"/>
  <c r="K17" i="1"/>
  <c r="T23" i="1"/>
  <c r="K29" i="1"/>
  <c r="K48" i="1"/>
  <c r="T54" i="1"/>
  <c r="T60" i="1"/>
  <c r="K67" i="1"/>
  <c r="K73" i="1"/>
  <c r="T79" i="1"/>
  <c r="T85" i="1"/>
  <c r="K92" i="1"/>
  <c r="T104" i="1"/>
  <c r="T110" i="1"/>
  <c r="K142" i="1"/>
  <c r="K148" i="1"/>
  <c r="K154" i="1"/>
  <c r="K160" i="1"/>
  <c r="K192" i="1"/>
  <c r="K204" i="1"/>
  <c r="K215" i="1"/>
  <c r="T17" i="1"/>
  <c r="K24" i="1"/>
  <c r="K55" i="1"/>
  <c r="K61" i="1"/>
  <c r="T67" i="1"/>
  <c r="T73" i="1"/>
  <c r="K80" i="1"/>
  <c r="K86" i="1"/>
  <c r="K111" i="1"/>
  <c r="K171" i="1"/>
  <c r="K182" i="1"/>
  <c r="K193" i="1"/>
  <c r="K216" i="1"/>
  <c r="K30" i="1"/>
  <c r="K49" i="1"/>
  <c r="T55" i="1"/>
  <c r="K68" i="1"/>
  <c r="K74" i="1"/>
  <c r="T80" i="1"/>
  <c r="T86" i="1"/>
  <c r="T105" i="1"/>
  <c r="T111" i="1"/>
  <c r="K143" i="1"/>
  <c r="K149" i="1"/>
  <c r="K194" i="1"/>
  <c r="K217" i="1"/>
  <c r="K56" i="1"/>
  <c r="K62" i="1"/>
  <c r="T68" i="1"/>
  <c r="T74" i="1"/>
  <c r="K81" i="1"/>
  <c r="K87" i="1"/>
  <c r="K112" i="1"/>
  <c r="K131" i="1"/>
  <c r="K173" i="1"/>
  <c r="K195" i="1"/>
  <c r="K218" i="1"/>
  <c r="K219" i="1"/>
  <c r="T87" i="1"/>
  <c r="K57" i="1"/>
  <c r="K82" i="1"/>
  <c r="K107" i="1"/>
  <c r="K113" i="1"/>
  <c r="K126" i="1"/>
  <c r="K197" i="1"/>
  <c r="K208" i="1"/>
  <c r="K98" i="1" l="1"/>
  <c r="K90" i="1" s="1"/>
  <c r="T98" i="1"/>
  <c r="T94" i="1"/>
  <c r="T95" i="1"/>
  <c r="T93" i="1"/>
  <c r="T92" i="1"/>
  <c r="J75" i="1"/>
  <c r="K176" i="1"/>
  <c r="K174" i="1" s="1"/>
  <c r="K185" i="1"/>
  <c r="K167" i="1"/>
  <c r="K27" i="1"/>
  <c r="K220" i="1"/>
  <c r="K196" i="1"/>
  <c r="K63" i="1"/>
  <c r="K50" i="1"/>
  <c r="K132" i="1"/>
  <c r="K94" i="1"/>
  <c r="K93" i="1"/>
  <c r="K130" i="1"/>
  <c r="K127" i="1"/>
  <c r="K118" i="1"/>
  <c r="T112" i="1"/>
  <c r="T113" i="1"/>
  <c r="T107" i="1"/>
  <c r="T106" i="1"/>
  <c r="T101" i="1"/>
  <c r="K105" i="1"/>
  <c r="K181" i="1"/>
  <c r="K104" i="1"/>
  <c r="K121" i="1"/>
  <c r="K119" i="1" s="1"/>
  <c r="K128" i="1"/>
  <c r="T108" i="1"/>
  <c r="K26" i="1"/>
  <c r="K155" i="1"/>
  <c r="K156" i="1"/>
  <c r="K150" i="1"/>
  <c r="K144" i="1"/>
  <c r="K138" i="1"/>
  <c r="K165" i="1"/>
  <c r="K124" i="1"/>
  <c r="K134" i="1"/>
  <c r="K15" i="1"/>
  <c r="K184" i="1"/>
  <c r="T24" i="1"/>
  <c r="K170" i="1"/>
  <c r="K114" i="1"/>
  <c r="K180" i="1"/>
  <c r="K122" i="1"/>
  <c r="T102" i="1"/>
  <c r="T69" i="1"/>
  <c r="J51" i="1"/>
  <c r="J44" i="1" s="1"/>
  <c r="K69" i="1"/>
  <c r="T61" i="1"/>
  <c r="T62" i="1"/>
  <c r="T56" i="1"/>
  <c r="K179" i="1"/>
  <c r="K18" i="1"/>
  <c r="T19" i="1"/>
  <c r="K19" i="1"/>
  <c r="T18" i="1"/>
  <c r="T14" i="1"/>
  <c r="T13" i="1"/>
  <c r="K13" i="1"/>
  <c r="K125" i="1"/>
  <c r="K183" i="1"/>
  <c r="K64" i="1"/>
  <c r="K51" i="1" s="1"/>
  <c r="K44" i="1" s="1"/>
  <c r="K129" i="1"/>
  <c r="K168" i="1"/>
  <c r="K178" i="1"/>
  <c r="K187" i="1"/>
  <c r="T25" i="1"/>
  <c r="T26" i="1" s="1"/>
  <c r="T27" i="1" s="1"/>
  <c r="T28" i="1" s="1"/>
  <c r="T29" i="1" s="1"/>
  <c r="T30" i="1" s="1"/>
  <c r="T31" i="1" s="1"/>
  <c r="T32" i="1" s="1"/>
  <c r="T33" i="1" s="1"/>
  <c r="T34" i="1" s="1"/>
  <c r="K31" i="1"/>
  <c r="K25" i="1"/>
  <c r="K123" i="1"/>
  <c r="K177" i="1"/>
  <c r="K101" i="1"/>
  <c r="K106" i="1"/>
  <c r="K117" i="1"/>
  <c r="K166" i="1"/>
  <c r="K163" i="1"/>
  <c r="K188" i="1"/>
  <c r="K75" i="1"/>
  <c r="K35" i="1"/>
  <c r="C205" i="1"/>
  <c r="K207" i="1" s="1"/>
  <c r="D4" i="1" a="1"/>
  <c r="K20" i="1" l="1"/>
  <c r="K99" i="1"/>
  <c r="K136" i="1"/>
  <c r="K11" i="1"/>
  <c r="K161" i="1"/>
  <c r="K115" i="1"/>
  <c r="E9" i="1" s="1"/>
  <c r="C9" i="1"/>
  <c r="K205" i="1"/>
  <c r="E7" i="1"/>
  <c r="E5" i="1"/>
  <c r="D4" i="1"/>
  <c r="E4" i="1" s="1"/>
  <c r="E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<sst xmlns="http://schemas.openxmlformats.org/spreadsheetml/2006/main" count="445" uniqueCount="240">
  <si>
    <t>Paramètres AA</t>
  </si>
  <si>
    <t>AVANCEMENT RÉEL (%)</t>
  </si>
  <si>
    <t>AVANCEMENT PLANIFIÉ (%)</t>
  </si>
  <si>
    <t>Planificateur Long terme</t>
  </si>
  <si>
    <t>PL</t>
  </si>
  <si>
    <t>Fiabiliste</t>
  </si>
  <si>
    <t>FB</t>
  </si>
  <si>
    <t>DATE DÉBUT D'ARRÊT</t>
  </si>
  <si>
    <t>DURÉE (Jrs)</t>
  </si>
  <si>
    <t>DATE FIN D'ARRÊT</t>
  </si>
  <si>
    <t>Surintendant entretien</t>
  </si>
  <si>
    <t>SE</t>
  </si>
  <si>
    <t>ING</t>
  </si>
  <si>
    <t>Coodonateur Entretien</t>
  </si>
  <si>
    <t>CE</t>
  </si>
  <si>
    <t>SUP ELEC</t>
  </si>
  <si>
    <t>SPE</t>
  </si>
  <si>
    <t>Jour fin de semaine</t>
  </si>
  <si>
    <t>Jour Fériés</t>
  </si>
  <si>
    <t>Lundi de paques</t>
  </si>
  <si>
    <t>Chef de Service</t>
  </si>
  <si>
    <t>CS</t>
  </si>
  <si>
    <t>Superviseur Mécanique</t>
  </si>
  <si>
    <t>SPM</t>
  </si>
  <si>
    <t>Planificateur Électrique</t>
  </si>
  <si>
    <t>PE</t>
  </si>
  <si>
    <t>Planificateur Mécanique</t>
  </si>
  <si>
    <t>PM</t>
  </si>
  <si>
    <t>AVANCEMENT</t>
  </si>
  <si>
    <t>AUJOURD'HUI:</t>
  </si>
  <si>
    <t>Nbr jeudi TPAA</t>
  </si>
  <si>
    <t>Conseillée Santé Sécurité</t>
  </si>
  <si>
    <t>SSE</t>
  </si>
  <si>
    <t>SUR</t>
  </si>
  <si>
    <t>SEMAINE:</t>
  </si>
  <si>
    <t>Jours restants:</t>
  </si>
  <si>
    <t>Responsable Verrouillage</t>
  </si>
  <si>
    <t>VER</t>
  </si>
  <si>
    <t>Transposer le MS project de préparation</t>
  </si>
  <si>
    <t>Jour</t>
  </si>
  <si>
    <t xml:space="preserve">REQUIS ARRÊT </t>
  </si>
  <si>
    <t>COMMENTAIRES</t>
  </si>
  <si>
    <t>RESPONSABLE</t>
  </si>
  <si>
    <t>Durée</t>
  </si>
  <si>
    <t>DATE DE FIN</t>
  </si>
  <si>
    <t>DÉBUT 26 SEMAINES AVANT ARRÊT</t>
  </si>
  <si>
    <t>CRÉER DOSSIER DANS LE U POUR L'ARRET DE L'ANNÉE</t>
  </si>
  <si>
    <t>U:\Acierie\entretien\Arrêts Annuels\1. Années\AAA2026</t>
  </si>
  <si>
    <t>MISE À JOUR DES GAMMES ET PLANS D'ENTRETIEN APRÈS L'ARRÊT ANNUEL PRÉCÉDENT</t>
  </si>
  <si>
    <t>VALIDATION DES PLANS D'ENTRETIEN À LONG DÉLAI</t>
  </si>
  <si>
    <t>AVOIR LA LISTE DES PROJETS / TRAVAUX MAJEURS ENTRETIEN QUI SERONT FAIT À L'ARRÊT</t>
  </si>
  <si>
    <t>CONVOQUER RENCONTRE DE DÉFINITION ET CONCERTATION DE L'ARRÊT</t>
  </si>
  <si>
    <t>ÉTABLIR DATES ET DURÉE DE L'ARRÊT</t>
  </si>
  <si>
    <t>ÉTABLIR QUANTITÉ DE RESSOURCES PLANIFICATIONS REQUISE</t>
  </si>
  <si>
    <t>DÉBUT 24 SEMAINES AVANT ARRÊT</t>
  </si>
  <si>
    <t>RÉVISION DE LA LISTE DES TRAVAUX (AVIS / ORDRE RELATIFS AUX TRAVAUX (SAP)</t>
  </si>
  <si>
    <t>OBTENIR LA LISTE DES MAINTENANCES CAPITALISABLES</t>
  </si>
  <si>
    <t>SCOPE PAR SECTEURS DES TRAVAUX :</t>
  </si>
  <si>
    <t>CONVERTISSEUR</t>
  </si>
  <si>
    <t>FOSSE</t>
  </si>
  <si>
    <t>HALLE 1</t>
  </si>
  <si>
    <t>HALLE 2</t>
  </si>
  <si>
    <t>PONT ROULANT</t>
  </si>
  <si>
    <t>TOURELLE ET MACC NIV 24</t>
  </si>
  <si>
    <t>COULÉE CONTINUE - ARC DE COULÉE</t>
  </si>
  <si>
    <t>EXPÉDITION</t>
  </si>
  <si>
    <t>TOURS D'EAU</t>
  </si>
  <si>
    <t>LISTE DES PSV</t>
  </si>
  <si>
    <t>DÉBUT 20 SEMAINES AVANT ARRÊT</t>
  </si>
  <si>
    <t>DÉFINIR LE BUDGET DE L'ARRÊT ANNUEL</t>
  </si>
  <si>
    <t>CONNAITRE L'IMPLICATION DU SERVICE INCENDIE</t>
  </si>
  <si>
    <t>PROJET(S) INGQ A INCLURES DANS CALENDRIER</t>
  </si>
  <si>
    <t>RENCONTRE DE DÉFINITION D'ARRÊT</t>
  </si>
  <si>
    <t>NOMMER L'ÉQUIPE DE GESTION D'ARRÊTS (D6.0)</t>
  </si>
  <si>
    <t>CRÉATION DE LA DA ( ACHETEUR 563)</t>
  </si>
  <si>
    <t>CONNAITRE LA LISTES DES TPAA</t>
  </si>
  <si>
    <t>DÉBUT 18 SEMAINES AVANT ARRÊT</t>
  </si>
  <si>
    <t>ÉTABLIR UNE STATÉGIE D'APPROVISSIONNEMENT</t>
  </si>
  <si>
    <t>PRÉPARER PLANIFICATIONS DES TPAA</t>
  </si>
  <si>
    <t>DEMANDER LISTE OFFICIELS DES VPO À LA PRODUCTION</t>
  </si>
  <si>
    <t>FAIRE LES COMMANDES À LONG DÉLAI 90J</t>
  </si>
  <si>
    <t>SORTIR LISTE DES PIÈCES À LONG DÉLAI LIVRAISON</t>
  </si>
  <si>
    <t>DÉBUT 16 SEMAINES AVANT ARRÊT</t>
  </si>
  <si>
    <t>SUIVI DES LOTS MAGASIN SUIVI 1 ( -90 J )</t>
  </si>
  <si>
    <t>PRIORISATION DES DEMANDES GÉNÉRÉES.</t>
  </si>
  <si>
    <t>PLANIFICATION DÉTAILLÉ DES TRAVAUX</t>
  </si>
  <si>
    <t>DÉTERMINER LES TRAVAUX À FAIRE PAR L'ENTREPRENEUR</t>
  </si>
  <si>
    <t>VALIDATION DU REGISTRE D'INSPECTION DES ÉQUIPEMENT DE LEVAGE</t>
  </si>
  <si>
    <t>RENCONTRE DE CONCERTATION D'ARRÊT</t>
  </si>
  <si>
    <t>INFORMER LES EMPLOYES ENTRETIEN ET OPERATION DE LA DATE D'ARRET (MEMOS OFFICIELS)</t>
  </si>
  <si>
    <t xml:space="preserve">DIFFUSER AU COORDONATEUR DES SURVEILLANTS DE CHANTIER LES DATES DE L'ARRÊT </t>
  </si>
  <si>
    <t>PRÉSENTATION AUX ENTREPRENEURS DU SCOPE POUR SOUMISSIONS (DÉLAI 2 SEM.)</t>
  </si>
  <si>
    <t>PLANIFIER L'INSPECTION DES EQUIPEMENTS DE LEVAGE REQUIS</t>
  </si>
  <si>
    <t>DÉBUT DES TPAA</t>
  </si>
  <si>
    <t>DÉBUT 14 SEMAINES AVANT ARRÊT</t>
  </si>
  <si>
    <t>ÉTABLIR LA DATE DE L'ARRÊT ÉLECTRIQUE (MEMOS OFFICIELS)</t>
  </si>
  <si>
    <t>ÉMETTRE MÉMO POUR L'ARRÊT ÉLECTRIQUE</t>
  </si>
  <si>
    <t>ÉTABLIR LA LISTE DES TRAVAUX EN ESPACE CLOS</t>
  </si>
  <si>
    <t>FAIRE LA TOURNÉE DES ESPACE CLOS, RECLASSIFIER SI NÉCESSAIRE, ÉTABLIR MATÉRIEL NÉCESSAIRE.</t>
  </si>
  <si>
    <t>INSCRIRE LES NUMÉRO D'ESPACE CLOS POUR LES TRAVAUX CONCERNÉ DANS L'ÉCHÉANCIER</t>
  </si>
  <si>
    <t>FAIRE DEMANDE D'ÉTUDIANT POUR SURVEILLANCE DES ESPACES CLOS</t>
  </si>
  <si>
    <t>FAIRE LES COMMANDES À LONG DÉLAI 60J</t>
  </si>
  <si>
    <t>FAIRE RENCONTRE POUR LES TRAVAUX DES TOURS DE REFROIDISSEMENT</t>
  </si>
  <si>
    <t>DÉPOT DES SOUMISSIONS DES ENTREPRENEURS</t>
  </si>
  <si>
    <t>REQUIS ARRÊT :</t>
  </si>
  <si>
    <t>DÉBUT 12 SEMAINES AVANT ARRÊT</t>
  </si>
  <si>
    <t>FAIRE APPROUVER UNE STRATÉGIE D'APPROVISIONNEMENT</t>
  </si>
  <si>
    <t>SUIVI DES LOTS MAGASIN SUIVI 2 ( -60 J )</t>
  </si>
  <si>
    <t>LANCER LA DA AVEC PRIX SOUMISSIONNÉS</t>
  </si>
  <si>
    <t>FAIRE DEVIS ET CORRECTION</t>
  </si>
  <si>
    <t>ÉTABLIR LA LISTE DES INSPECTIONS NDT</t>
  </si>
  <si>
    <t>ÉTABLIR LES BESOIN EN ÉQUIPEMENTS DE TRAVAIL EN HAUTEUR</t>
  </si>
  <si>
    <t>PLANIFIER LES RENCONTRES DE PRÉPARATION ARRÊT HEBDO</t>
  </si>
  <si>
    <t>METTRE À JOUR LE MODÈLE MS PROJECT</t>
  </si>
  <si>
    <t>DEMANDER ÉCHÉANCIER DÉTAILLÉ AUX CHARGÉS DE PROJETS (DÉLAI 2 SEM.)</t>
  </si>
  <si>
    <t>RENCONTRE AVEC GROUPE TECHNIQUE ENTRETIEN POUR DÉFINIR LISTE DE TRAVAUX</t>
  </si>
  <si>
    <t>ÉVALUER BESOIN ÉLECTRIQUES ARRÊT (PRISE DE SOUDURE)</t>
  </si>
  <si>
    <t>ZONES ENTREPOSAGES &amp; PLAN DE LOCALISATION</t>
  </si>
  <si>
    <t>REVISER PROTOCOLE D'ARRÊT ET DRAINAGE</t>
  </si>
  <si>
    <t>DÉBUT 10 SEMAINES AVANT ARRÊT</t>
  </si>
  <si>
    <t>DEMANDER PLAN DE LEVAGE POUR LES LEVAGES IMPORTANTS</t>
  </si>
  <si>
    <t>VALIDER AVEC MAGASIN CAPACITÉ DE TRAITEMENTS DES LOTS</t>
  </si>
  <si>
    <t>FOURNIR LA LISTE DES GROSSE PIÈCE AU MAGASIN</t>
  </si>
  <si>
    <t>ÉTABLIR LES BESOINS DE NETTOYAGE POUR CHACUNE DES JOBS</t>
  </si>
  <si>
    <t>FOURNIR LES ECHÉANCIERS FINALES DES PROJETS (INCLUANT PLAN VPO)</t>
  </si>
  <si>
    <t>ÉTABLIR LES BESOINS EN ÉCHAFAUD</t>
  </si>
  <si>
    <t>ÉTABLIR CHEMIN CRITIQUE</t>
  </si>
  <si>
    <t>DÉBUT 8 SEMAINES AVANT ARRÊT</t>
  </si>
  <si>
    <t>ÉTABLIR LE PROCESSUS DE SUIVI DE COÛT</t>
  </si>
  <si>
    <t>FOURNIR LISTE DES PO POUR SUIVI DE COÛTS</t>
  </si>
  <si>
    <t>SUIVI DES LOTS MAGASIN SUIVI 1 ( -90 J ) ET SUIVI 2 (-60J)</t>
  </si>
  <si>
    <t xml:space="preserve">VALIDATION LIVRAISON DES OSCILLATEURS </t>
  </si>
  <si>
    <t>ENVOI DES DEVIS AUX ENTREPRENEURS</t>
  </si>
  <si>
    <t>ÉMETTRE MÉMO POUR TRAVAUX DANS TUNNEL DE TRANSFERT</t>
  </si>
  <si>
    <t>RENCONTRE PRÉ-ARRÊT</t>
  </si>
  <si>
    <t>RÉSERVATION ÉQUIPEMENTS EN LOCATION (EX: ROULOTTES, GÉNÉRATRICE, ETC)</t>
  </si>
  <si>
    <t>S'ASSURER D'AVOIR ET D'INSPECTER LES EQUIPEMENTS DE LEVAGE REQUIS</t>
  </si>
  <si>
    <t>MISE EN COMMUN DES ÉCHÉANCIERS (GANTT)</t>
  </si>
  <si>
    <t>SÉLECTIONNER QUELS TRAVAUX DOIT AVOIR UN AMDEC</t>
  </si>
  <si>
    <t>PRÉPARER ADJUDICATION SYNDICALE SI REQUIS</t>
  </si>
  <si>
    <t>DONNER LA LISTE DES TRAVAUX AUX RESPONSABLES DU VERROUILLAGE</t>
  </si>
  <si>
    <t>PRÉPARATION DES ANALYSES DE RISQUES POUR TOUS LES TRAVAUX ENTRETIEN</t>
  </si>
  <si>
    <t>DÉBUT 7 SEMAINES AVANT ARRÊT</t>
  </si>
  <si>
    <t>VALIDATION DES DEMANDES DE VERROUILLAGES VIA COURRIEL DE SUIVI.</t>
  </si>
  <si>
    <t>SMED ARRÊT SUR CHEMIN CRITIQUES</t>
  </si>
  <si>
    <t>DÉBUT 6 SEMAINES AVANT ARRÊT</t>
  </si>
  <si>
    <t>FAIRE LES COMMANDES À LONG DÉLAI 30J</t>
  </si>
  <si>
    <t>COMMANDE DES CONSOMMABLES D'ARRÊT</t>
  </si>
  <si>
    <t>FAIRE VISITE DES SOUMISSIONNAIRES ( CHANGEMENT DE CONVERTISSEUR)</t>
  </si>
  <si>
    <t>FOURNIR LE PLAN DE LIVRAISON POUR LA LIVRAISON DES GROSSES PIÈCES</t>
  </si>
  <si>
    <t>VALIDATION DE POINTS DE PURGES GAZ CO</t>
  </si>
  <si>
    <t>RENCONTRE AVEC L'ÉQUIPE DU GAZ CO ( POUR L'ARRÊT DU GAZ CO)</t>
  </si>
  <si>
    <t>ÉTABLIR LES ZONES DE VERROUILLAGE</t>
  </si>
  <si>
    <t>ÉCRIRE LES ZONES DE VERROUILLAGE DE CHAQUE TRAVAUX DANS LES ÉCHÉANCIERS</t>
  </si>
  <si>
    <t>FAIRE LE REPÉRAGE DE CHAQUE FICHE</t>
  </si>
  <si>
    <t>FAIRE PLAN DE LOCALISATION DES ZONES DE VERROUILLAGE</t>
  </si>
  <si>
    <t>RÉALISER LES AMDEC SUR LES TÂCHES CRITIQUES (ONGLET PL-10)</t>
  </si>
  <si>
    <t>CONCEVOIR LE PLAN D'AMÉNAGEMENT (CHANTIER ET ROULOTTE)</t>
  </si>
  <si>
    <t>INTÉGRER LES PLANS VPO DE TOUS LES TRAVAUX</t>
  </si>
  <si>
    <t>GEL DES TRAVAUX GELER L'ENVERGURE DE L'ARRÊT (UTLISER PROCEDURE POUR AJOUT)</t>
  </si>
  <si>
    <t>DÉBUT 4 SEMAINES AVANT ARRÊT</t>
  </si>
  <si>
    <t>ÉTABLIR PROCESSUS D'APPROBATION DE FACTURE</t>
  </si>
  <si>
    <t>SUIVI -TOUTE LES SEMAINE A PARTIR DE -60J</t>
  </si>
  <si>
    <t>LIVRAISON DES LOTS MÉCAN.: 3 SEMAINE AVANT TÂCHE</t>
  </si>
  <si>
    <t>LIVRAISON DES LOTS ÉLECT.: 3 SEMAINE AVANT</t>
  </si>
  <si>
    <t>LIVRAISON DES LOTS TPAA.: 3 SEMAINE AVANT</t>
  </si>
  <si>
    <t>FAIRE ENTENTE AVEC LE MAGASIN (CHARIOT ÉLÉVATEUR, COMMIS, BOOMTRUCK)</t>
  </si>
  <si>
    <t>RÉDACTION DES TÂCHES COGNIBOX</t>
  </si>
  <si>
    <t>DÉTERMINER L'EMPLACEMENT DES POCHES</t>
  </si>
  <si>
    <t>RENCONTRE SYNDICALE POUR PRÉSENTATION TRAVAUX SOUS-TRAITANCE</t>
  </si>
  <si>
    <t>ÉTABLIR HORAIRE DES RENCONTRES (N3) DE SHUT DOWN</t>
  </si>
  <si>
    <t>ÉTABLIR QUANTITÉ DE RESSOURCES SUPERVISIONS REQUISE</t>
  </si>
  <si>
    <t>ÉTABLIR PLAN DE MITIGATION EN CAS DE MANQUE DE MAIN D'OEUVRE CADRE</t>
  </si>
  <si>
    <t>ÉTABLIR UN PLAN DE MITIGATION EN CAS DE MANQUE DE MAIN D'OEUVRE SYNDIQUÉ ( FORCER LES EMPLOYÉS À TRAVAILLER OU DÉROGATION AU ENTREPRENEUR)</t>
  </si>
  <si>
    <t>REVUE ÉCHÉANCIER AVEC LES ENTREPRENEURS PRINCIPAUX</t>
  </si>
  <si>
    <t>ÉMETTRE LA LISTE DES NUMÉROS DE TÉLÉPHONE</t>
  </si>
  <si>
    <t>PRÉSENTATION À LA DIRECTION DES GRANDES LIGNES DE L'ARRÊT - DOCUMENT SHAREPOINT</t>
  </si>
  <si>
    <t>DETERMINER LA DATE EXACTE DE L'ARRÊT - Dernier Tap</t>
  </si>
  <si>
    <t>PRÉSENTATION ADJUDICATION SYNDICALE SI REQUIS (4 SEMAINES AVANT ARRÊT)</t>
  </si>
  <si>
    <t>FAIRE HORAIRE DE TRAVAIL POUR L'ÉQUIPE DE GESTION DE L'ARRÊT (Gestion de la fatigue)</t>
  </si>
  <si>
    <t>VALIDATION DES PIECES MANQUANTES</t>
  </si>
  <si>
    <t>PRÉSENTATION DES TRAVAUX A L'ÉQUIPE D'ENTRETIEN (MEC/ELE)</t>
  </si>
  <si>
    <t>FOURNIR PLAN DE COMMUNICATION PROJET</t>
  </si>
  <si>
    <t>VÉRIFIER COGNIBOX ENTREPRENEURS</t>
  </si>
  <si>
    <t>DÉBUT 2 SEMAINES AVANT ARRÊT</t>
  </si>
  <si>
    <t xml:space="preserve">APPROBATION DES TRAVAUX </t>
  </si>
  <si>
    <t>FOURNIR LA LISTE DES TRAVAUX NON ÉLECTRIQUE FAIT PENDANT L'ARRÊT ÉLECTRIQUE AU SERVICE INCENDIE</t>
  </si>
  <si>
    <t>DIFFUSION GÉNÉRAL DES ÉCHÉANCIERS AVEC TOUS LES INTERVENANTS</t>
  </si>
  <si>
    <t>PLANIFIER RENCONTRE SÉCURITÉ POUR EMPLOYÉS (3 TABLEAUX DE BORD) + POOL</t>
  </si>
  <si>
    <t>REVUE SÉCURITÉ</t>
  </si>
  <si>
    <t>INFORMER LES BESOINS DE PERMIS DE FEU</t>
  </si>
  <si>
    <t>DIFFUSION DES DIRECTIVES SSE ENTREPRENEURS</t>
  </si>
  <si>
    <t>MOBILISATION (ROULOTTES, COMPRESSEUR, ENTREPRNEURS, ETC)</t>
  </si>
  <si>
    <t>ENVOYER CONVOCATION POUR RENCONTRE DE SUIVI DE L'ARRÊT (EXÉCUTION)</t>
  </si>
  <si>
    <t>RÉVISION FINALE DU PROTOCOLE D'ARRÊT ET DÉMARRAGE</t>
  </si>
  <si>
    <t>REQUIS ARRÊT</t>
  </si>
  <si>
    <t>DÉBUT 1 SEMAINE AVANT ARRÊT</t>
  </si>
  <si>
    <t>FAIRE ENTRER LES ROULOTTES SUR LE SITE</t>
  </si>
  <si>
    <t>BRANCHEMENT DES ROULOTTES</t>
  </si>
  <si>
    <t>FAIRE RENCONTRE GÉNÉRAL POUR LES ENTREPRENEURS</t>
  </si>
  <si>
    <t>REVUE DE LA SÉQUENCE DE L'ÉCHÉANCIER POUR LES 3 PREMIERS JOURS</t>
  </si>
  <si>
    <t>RÉVISION DES SÉQUENCES DE PRÉPARATION ET DE REMISE OPÉRATIONELLE DES ÉQUIPEMENTS.</t>
  </si>
  <si>
    <t>PRÉSENTATION DES TRAVAUX À L'ÉQUIPE D'OPÉRATION</t>
  </si>
  <si>
    <t>SIMULATION D'UNE RENCONTRE DE SHUTDOWN</t>
  </si>
  <si>
    <t xml:space="preserve">PREPARER LES TABLEAUX DE SUIVI DE L'ARRÊT </t>
  </si>
  <si>
    <t>PREPARER FICHIER DU POINT DE PRESSE JOURNALIERS</t>
  </si>
  <si>
    <t>JOUR -1: CONFIRMER L'HEURE FINALE D'ARRÊT VS SÉQUENCE DES FOURS</t>
  </si>
  <si>
    <t>MOBILISATION</t>
  </si>
  <si>
    <t>ÉXÉCUTION</t>
  </si>
  <si>
    <t>SEM 0 - MÉTAL À MÉTAL</t>
  </si>
  <si>
    <t xml:space="preserve">PROGRAMMER LES BOITIERS POUR SUIVI DE CUISSON </t>
  </si>
  <si>
    <t>ENVOIE DES POINTS DE PRESSE JOURNALIERS</t>
  </si>
  <si>
    <t>PLAN DE LOCALISATION DES THERMOCOUPLES</t>
  </si>
  <si>
    <t>RÉALISER PROTOCOLE ARRÊT ET DRAINAGE</t>
  </si>
  <si>
    <t>PROTOCOLE ACCÈS SÉCURITAIRE (espace clos, déclassement, inspection plafond)</t>
  </si>
  <si>
    <t>CONFIRMATION DU SCOPE APRÈS CASSAGE (INSPECTION À FROID)</t>
  </si>
  <si>
    <t xml:space="preserve">CONTRÔLE PLAN QUALITÉ EN RECONSTRUCTION </t>
  </si>
  <si>
    <t xml:space="preserve">RENCONTRES JOURNALIÈRES DE SUIVI ARRÊT </t>
  </si>
  <si>
    <t>SUIVI CUISSON DES FOURS (INTERVENANT #1)</t>
  </si>
  <si>
    <t>SUIVI CUISSON DES DALOTS</t>
  </si>
  <si>
    <t>RENCONTRES DE SUIVI CUISSON</t>
  </si>
  <si>
    <t>EXÉCUTION DU PSSR ET RENCONTRE D'APPROBATION</t>
  </si>
  <si>
    <t>ARCHIVER LES PSSR ET FERMER ACTION DANS PROSPECT</t>
  </si>
  <si>
    <t>RÉALISER PROTOCOLE DE CHARGEMENT ET ÉTALONAGE POIDS DU FOUR</t>
  </si>
  <si>
    <t>AVISER LE COA QUE NOUS AVONS UNE CUISSON</t>
  </si>
  <si>
    <t>POST-ARRÊT</t>
  </si>
  <si>
    <t>RENCONTRE POST-MORTEM ARRÊT (S+1)</t>
  </si>
  <si>
    <t>COMPLÉTER LES TACHES POST-ARRÊT (DEMOB / RETOUR DES PIECES / LOCATION…)</t>
  </si>
  <si>
    <t>FERMER LES COMMANDES DANS SAP</t>
  </si>
  <si>
    <t>S'ASSURER QUE LES ORDRES DE TRAVAIL ONT ÉTÉ CLOTURÉS</t>
  </si>
  <si>
    <t>DIFFUSION DU BILAN DE L'ARRÊT (S+4)</t>
  </si>
  <si>
    <t>ARCHIVER TOUTE LA DOCUMENTATION RELIÉE À L'ARRÊT SUR LE RÉSEAU DE L'USINE</t>
  </si>
  <si>
    <t>Mettre à jour la directive de sécurité dans SharePoint (VOIR FRIGO)</t>
  </si>
  <si>
    <t>TQR ANNOTATION DESSINS CONSTRUCTION</t>
  </si>
  <si>
    <t>AUDIT FOURNISSEURS RÉFRACTAIRES ** À CLARIFIER AVEC PHILIPPE</t>
  </si>
  <si>
    <t>ÉVALUATION DES ENTREPRENEURS DANS COGNIBOX AVEC LES TITULAIRES DE CONTRAT</t>
  </si>
  <si>
    <t>RÉVISION DE L'ACRA SUITE À L'ARRÊT (PLAN 5 ANS PORTION FOURS)</t>
  </si>
  <si>
    <t>MISE À JOUR DE L'AMDEC</t>
  </si>
  <si>
    <t>MISE À JOUR PLAN D'ACTIONS D'AMÉLIORATIONS</t>
  </si>
  <si>
    <t>SUIVI DU PLAN D'ACTIONS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</si>
</sst>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ddd"/>
    <numFmt numFmtId="166" formatCode="[$-F800]dddd\,\ mmmm\ dd\,\ yyyy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theme="1"/>
      <name val="Arial Unicode MS"/>
    </font>
    <font>
      <b/>
      <sz val="9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2"/>
      <color rgb="FF008000"/>
      <name val="Arial"/>
      <family val="2"/>
    </font>
    <font>
      <b/>
      <sz val="8"/>
      <color rgb="FF008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EA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6">
    <xf numFmtId="0" fontId="0" fillId="0" borderId="0" xfId="0"/>
    <xf numFmtId="0" fontId="0" fillId="2" borderId="1" xfId="0" applyFill="1" applyBorder="1" applyAlignment="1">
      <alignment horizontal="center"/>
    </xf>
    <xf numFmtId="0" fontId="5" fillId="4" borderId="7" xfId="1" applyFont="1" applyFill="1" applyBorder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0" fillId="2" borderId="1" xfId="0" applyFill="1" applyBorder="1"/>
    <xf numFmtId="16" fontId="10" fillId="0" borderId="0" xfId="0" applyNumberFormat="1" applyFont="1" applyAlignment="1">
      <alignment horizontal="center" vertical="center"/>
    </xf>
    <xf numFmtId="16" fontId="1" fillId="0" borderId="0" xfId="1" applyNumberFormat="1" applyAlignment="1">
      <alignment horizontal="center"/>
    </xf>
    <xf numFmtId="16" fontId="1" fillId="0" borderId="11" xfId="1" applyNumberFormat="1" applyBorder="1" applyAlignment="1">
      <alignment horizontal="center"/>
    </xf>
    <xf numFmtId="165" fontId="1" fillId="0" borderId="6" xfId="1" applyNumberForma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5" fillId="5" borderId="7" xfId="1" applyFont="1" applyFill="1" applyBorder="1" applyAlignment="1" applyProtection="1">
      <alignment horizontal="center"/>
      <protection locked="0"/>
    </xf>
    <xf numFmtId="165" fontId="1" fillId="0" borderId="13" xfId="1" applyNumberFormat="1" applyBorder="1" applyAlignment="1">
      <alignment horizontal="center"/>
    </xf>
    <xf numFmtId="0" fontId="1" fillId="0" borderId="0" xfId="1"/>
    <xf numFmtId="0" fontId="3" fillId="0" borderId="0" xfId="1" applyFont="1" applyAlignment="1" applyProtection="1">
      <alignment horizontal="center"/>
      <protection locked="0"/>
    </xf>
    <xf numFmtId="165" fontId="4" fillId="0" borderId="13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6" borderId="7" xfId="1" applyFont="1" applyFill="1" applyBorder="1" applyAlignment="1" applyProtection="1">
      <alignment horizontal="center"/>
      <protection locked="0"/>
    </xf>
    <xf numFmtId="165" fontId="4" fillId="0" borderId="1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11" fillId="8" borderId="2" xfId="1" applyNumberFormat="1" applyFont="1" applyFill="1" applyBorder="1" applyAlignment="1">
      <alignment horizontal="right" vertical="center"/>
    </xf>
    <xf numFmtId="14" fontId="11" fillId="8" borderId="4" xfId="1" applyNumberFormat="1" applyFont="1" applyFill="1" applyBorder="1" applyAlignment="1">
      <alignment horizontal="center" vertical="center"/>
    </xf>
    <xf numFmtId="0" fontId="1" fillId="8" borderId="5" xfId="1" applyFill="1" applyBorder="1" applyAlignment="1">
      <alignment horizontal="left"/>
    </xf>
    <xf numFmtId="0" fontId="11" fillId="8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 applyProtection="1">
      <alignment horizontal="center"/>
      <protection locked="0"/>
    </xf>
    <xf numFmtId="9" fontId="8" fillId="7" borderId="10" xfId="1" applyNumberFormat="1" applyFont="1" applyFill="1" applyBorder="1" applyAlignment="1">
      <alignment horizontal="center" vertical="top"/>
    </xf>
    <xf numFmtId="9" fontId="8" fillId="7" borderId="11" xfId="1" applyNumberFormat="1" applyFont="1" applyFill="1" applyBorder="1" applyAlignment="1">
      <alignment horizontal="left" vertical="top"/>
    </xf>
    <xf numFmtId="9" fontId="8" fillId="7" borderId="12" xfId="1" applyNumberFormat="1" applyFont="1" applyFill="1" applyBorder="1" applyAlignment="1">
      <alignment horizontal="left" vertical="top"/>
    </xf>
    <xf numFmtId="1" fontId="11" fillId="8" borderId="4" xfId="1" applyNumberFormat="1" applyFont="1" applyFill="1" applyBorder="1" applyAlignment="1">
      <alignment horizontal="center" vertical="center"/>
    </xf>
    <xf numFmtId="14" fontId="4" fillId="8" borderId="10" xfId="1" applyNumberFormat="1" applyFont="1" applyFill="1" applyBorder="1" applyAlignment="1">
      <alignment horizontal="left" vertical="center"/>
    </xf>
    <xf numFmtId="0" fontId="11" fillId="8" borderId="12" xfId="1" applyFont="1" applyFill="1" applyBorder="1" applyAlignment="1">
      <alignment horizontal="center" vertical="center"/>
    </xf>
    <xf numFmtId="0" fontId="5" fillId="9" borderId="7" xfId="1" applyFont="1" applyFill="1" applyBorder="1" applyAlignment="1" applyProtection="1">
      <alignment horizontal="center"/>
      <protection locked="0"/>
    </xf>
    <xf numFmtId="0" fontId="1" fillId="0" borderId="10" xfId="1" applyBorder="1"/>
    <xf numFmtId="0" fontId="1" fillId="0" borderId="0" xfId="1" applyProtection="1">
      <protection locked="0"/>
    </xf>
    <xf numFmtId="0" fontId="1" fillId="0" borderId="0" xfId="1" applyAlignment="1">
      <alignment horizontal="center"/>
    </xf>
    <xf numFmtId="0" fontId="8" fillId="10" borderId="6" xfId="1" applyFont="1" applyFill="1" applyBorder="1" applyAlignment="1" applyProtection="1">
      <alignment vertical="top" wrapText="1"/>
      <protection locked="0"/>
    </xf>
    <xf numFmtId="0" fontId="13" fillId="10" borderId="6" xfId="1" applyFont="1" applyFill="1" applyBorder="1" applyAlignment="1">
      <alignment horizontal="center" vertical="top" wrapText="1"/>
    </xf>
    <xf numFmtId="0" fontId="8" fillId="10" borderId="11" xfId="1" applyFont="1" applyFill="1" applyBorder="1" applyAlignment="1" applyProtection="1">
      <alignment vertical="top" wrapText="1"/>
      <protection locked="0"/>
    </xf>
    <xf numFmtId="0" fontId="13" fillId="10" borderId="11" xfId="1" applyFont="1" applyFill="1" applyBorder="1" applyAlignment="1">
      <alignment horizontal="center" vertical="top" wrapText="1"/>
    </xf>
    <xf numFmtId="9" fontId="1" fillId="0" borderId="19" xfId="1" applyNumberFormat="1" applyBorder="1" applyAlignment="1" applyProtection="1">
      <alignment horizontal="center" vertical="top" wrapText="1"/>
      <protection locked="0"/>
    </xf>
    <xf numFmtId="9" fontId="1" fillId="0" borderId="19" xfId="1" applyNumberFormat="1" applyBorder="1" applyAlignment="1">
      <alignment horizontal="center" vertical="top" wrapText="1"/>
    </xf>
    <xf numFmtId="0" fontId="1" fillId="0" borderId="20" xfId="1" applyBorder="1" applyAlignment="1" applyProtection="1">
      <alignment vertical="top"/>
      <protection locked="0"/>
    </xf>
    <xf numFmtId="0" fontId="9" fillId="0" borderId="21" xfId="1" applyFont="1" applyBorder="1" applyAlignment="1" applyProtection="1">
      <alignment horizontal="center" vertical="center"/>
      <protection locked="0"/>
    </xf>
    <xf numFmtId="0" fontId="9" fillId="0" borderId="22" xfId="1" applyFont="1" applyBorder="1" applyAlignment="1" applyProtection="1">
      <alignment horizontal="center" vertical="center"/>
      <protection locked="0"/>
    </xf>
    <xf numFmtId="0" fontId="9" fillId="0" borderId="23" xfId="1" applyFont="1" applyBorder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 vertical="top"/>
      <protection locked="0"/>
    </xf>
    <xf numFmtId="164" fontId="1" fillId="0" borderId="20" xfId="1" applyNumberFormat="1" applyBorder="1" applyAlignment="1" applyProtection="1">
      <alignment horizontal="center" vertical="top"/>
      <protection locked="0"/>
    </xf>
    <xf numFmtId="0" fontId="7" fillId="0" borderId="22" xfId="1" applyFont="1" applyBorder="1" applyAlignment="1">
      <alignment horizontal="center" vertical="top" wrapText="1"/>
    </xf>
    <xf numFmtId="0" fontId="7" fillId="0" borderId="7" xfId="1" applyFont="1" applyBorder="1" applyAlignment="1">
      <alignment horizontal="center" vertical="top" wrapText="1"/>
    </xf>
    <xf numFmtId="0" fontId="7" fillId="2" borderId="7" xfId="1" applyFont="1" applyFill="1" applyBorder="1" applyAlignment="1">
      <alignment horizontal="center" vertical="top" wrapText="1"/>
    </xf>
    <xf numFmtId="0" fontId="1" fillId="0" borderId="20" xfId="1" applyBorder="1" applyAlignment="1" applyProtection="1">
      <alignment vertical="top" wrapText="1"/>
      <protection locked="0"/>
    </xf>
    <xf numFmtId="0" fontId="9" fillId="0" borderId="21" xfId="1" applyFont="1" applyBorder="1" applyAlignment="1" applyProtection="1">
      <alignment horizontal="center" vertical="center" wrapText="1"/>
      <protection locked="0"/>
    </xf>
    <xf numFmtId="0" fontId="9" fillId="0" borderId="22" xfId="1" applyFont="1" applyBorder="1" applyAlignment="1" applyProtection="1">
      <alignment horizontal="center" vertical="center" wrapText="1"/>
      <protection locked="0"/>
    </xf>
    <xf numFmtId="0" fontId="9" fillId="0" borderId="23" xfId="1" applyFont="1" applyBorder="1" applyAlignment="1" applyProtection="1">
      <alignment horizontal="center" vertical="center" wrapText="1"/>
      <protection locked="0"/>
    </xf>
    <xf numFmtId="0" fontId="1" fillId="0" borderId="19" xfId="1" applyBorder="1" applyAlignment="1" applyProtection="1">
      <alignment horizontal="center" vertical="top" wrapText="1"/>
      <protection locked="0"/>
    </xf>
    <xf numFmtId="0" fontId="7" fillId="0" borderId="7" xfId="1" applyFont="1" applyBorder="1"/>
    <xf numFmtId="15" fontId="1" fillId="0" borderId="20" xfId="1" applyNumberFormat="1" applyBorder="1" applyAlignment="1" applyProtection="1">
      <alignment vertical="top" wrapText="1"/>
      <protection locked="0"/>
    </xf>
    <xf numFmtId="15" fontId="9" fillId="0" borderId="21" xfId="1" applyNumberFormat="1" applyFont="1" applyBorder="1" applyAlignment="1" applyProtection="1">
      <alignment horizontal="center" vertical="center" wrapText="1"/>
      <protection locked="0"/>
    </xf>
    <xf numFmtId="15" fontId="9" fillId="0" borderId="22" xfId="1" applyNumberFormat="1" applyFont="1" applyBorder="1" applyAlignment="1" applyProtection="1">
      <alignment horizontal="center" vertical="center" wrapText="1"/>
      <protection locked="0"/>
    </xf>
    <xf numFmtId="15" fontId="9" fillId="0" borderId="23" xfId="1" applyNumberFormat="1" applyFont="1" applyBorder="1" applyAlignment="1" applyProtection="1">
      <alignment horizontal="center" vertical="center" wrapText="1"/>
      <protection locked="0"/>
    </xf>
    <xf numFmtId="0" fontId="8" fillId="10" borderId="0" xfId="1" applyFont="1" applyFill="1" applyAlignment="1" applyProtection="1">
      <alignment vertical="top" wrapText="1"/>
      <protection locked="0"/>
    </xf>
    <xf numFmtId="0" fontId="6" fillId="10" borderId="9" xfId="1" applyFont="1" applyFill="1" applyBorder="1" applyAlignment="1" applyProtection="1">
      <alignment horizontal="center" vertical="center" wrapText="1"/>
      <protection locked="0"/>
    </xf>
    <xf numFmtId="0" fontId="6" fillId="10" borderId="0" xfId="1" applyFont="1" applyFill="1" applyAlignment="1" applyProtection="1">
      <alignment horizontal="center" vertical="center" wrapText="1"/>
      <protection locked="0"/>
    </xf>
    <xf numFmtId="0" fontId="6" fillId="10" borderId="13" xfId="1" applyFont="1" applyFill="1" applyBorder="1" applyAlignment="1" applyProtection="1">
      <alignment horizontal="center" vertical="center" wrapText="1"/>
      <protection locked="0"/>
    </xf>
    <xf numFmtId="0" fontId="8" fillId="10" borderId="28" xfId="1" applyFont="1" applyFill="1" applyBorder="1" applyAlignment="1" applyProtection="1">
      <alignment horizontal="center" vertical="top" wrapText="1"/>
      <protection locked="0"/>
    </xf>
    <xf numFmtId="0" fontId="8" fillId="10" borderId="0" xfId="1" applyFont="1" applyFill="1" applyAlignment="1" applyProtection="1">
      <alignment horizontal="center" vertical="top" wrapText="1"/>
      <protection locked="0"/>
    </xf>
    <xf numFmtId="0" fontId="13" fillId="10" borderId="0" xfId="1" applyFont="1" applyFill="1" applyAlignment="1">
      <alignment horizontal="center" vertical="top" wrapText="1"/>
    </xf>
    <xf numFmtId="9" fontId="1" fillId="0" borderId="29" xfId="1" applyNumberFormat="1" applyBorder="1" applyAlignment="1" applyProtection="1">
      <alignment horizontal="center" vertical="top" wrapText="1"/>
      <protection locked="0"/>
    </xf>
    <xf numFmtId="9" fontId="1" fillId="0" borderId="29" xfId="1" applyNumberFormat="1" applyBorder="1" applyAlignment="1">
      <alignment horizontal="center" vertical="top" wrapText="1"/>
    </xf>
    <xf numFmtId="9" fontId="1" fillId="0" borderId="17" xfId="1" applyNumberFormat="1" applyBorder="1" applyAlignment="1" applyProtection="1">
      <alignment vertical="top" wrapText="1"/>
      <protection locked="0"/>
    </xf>
    <xf numFmtId="0" fontId="9" fillId="0" borderId="30" xfId="1" applyFont="1" applyBorder="1" applyAlignment="1" applyProtection="1">
      <alignment horizontal="center" vertical="center" wrapText="1"/>
      <protection locked="0"/>
    </xf>
    <xf numFmtId="0" fontId="9" fillId="0" borderId="31" xfId="1" applyFont="1" applyBorder="1" applyAlignment="1" applyProtection="1">
      <alignment horizontal="center" vertical="center" wrapText="1"/>
      <protection locked="0"/>
    </xf>
    <xf numFmtId="0" fontId="9" fillId="0" borderId="18" xfId="1" applyFont="1" applyBorder="1" applyAlignment="1" applyProtection="1">
      <alignment horizontal="center" vertical="center" wrapText="1"/>
      <protection locked="0"/>
    </xf>
    <xf numFmtId="0" fontId="1" fillId="0" borderId="29" xfId="1" applyBorder="1" applyAlignment="1" applyProtection="1">
      <alignment horizontal="center" vertical="top" wrapText="1"/>
      <protection locked="0"/>
    </xf>
    <xf numFmtId="0" fontId="1" fillId="0" borderId="31" xfId="1" applyBorder="1" applyAlignment="1">
      <alignment vertical="top" wrapText="1"/>
    </xf>
    <xf numFmtId="0" fontId="1" fillId="0" borderId="32" xfId="1" applyBorder="1" applyAlignment="1">
      <alignment vertical="top" wrapText="1"/>
    </xf>
    <xf numFmtId="0" fontId="7" fillId="0" borderId="32" xfId="1" applyFont="1" applyBorder="1" applyAlignment="1">
      <alignment horizontal="center" vertical="top" wrapText="1"/>
    </xf>
    <xf numFmtId="0" fontId="9" fillId="0" borderId="24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1" fillId="0" borderId="22" xfId="1" applyBorder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9" fillId="0" borderId="33" xfId="1" applyFont="1" applyBorder="1" applyAlignment="1" applyProtection="1">
      <alignment horizontal="center" vertical="center" wrapText="1"/>
      <protection locked="0"/>
    </xf>
    <xf numFmtId="0" fontId="9" fillId="0" borderId="34" xfId="1" applyFont="1" applyBorder="1" applyAlignment="1" applyProtection="1">
      <alignment horizontal="center" vertical="center" wrapText="1"/>
      <protection locked="0"/>
    </xf>
    <xf numFmtId="0" fontId="8" fillId="10" borderId="6" xfId="1" quotePrefix="1" applyFont="1" applyFill="1" applyBorder="1" applyAlignment="1" applyProtection="1">
      <alignment vertical="top"/>
      <protection locked="0"/>
    </xf>
    <xf numFmtId="0" fontId="6" fillId="10" borderId="5" xfId="1" quotePrefix="1" applyFont="1" applyFill="1" applyBorder="1" applyAlignment="1" applyProtection="1">
      <alignment horizontal="center" vertical="center"/>
      <protection locked="0"/>
    </xf>
    <xf numFmtId="0" fontId="6" fillId="10" borderId="6" xfId="1" quotePrefix="1" applyFont="1" applyFill="1" applyBorder="1" applyAlignment="1" applyProtection="1">
      <alignment horizontal="center" vertical="center"/>
      <protection locked="0"/>
    </xf>
    <xf numFmtId="0" fontId="6" fillId="10" borderId="8" xfId="1" quotePrefix="1" applyFont="1" applyFill="1" applyBorder="1" applyAlignment="1" applyProtection="1">
      <alignment horizontal="center" vertical="center"/>
      <protection locked="0"/>
    </xf>
    <xf numFmtId="0" fontId="8" fillId="10" borderId="8" xfId="1" quotePrefix="1" applyFont="1" applyFill="1" applyBorder="1" applyAlignment="1" applyProtection="1">
      <alignment horizontal="center" vertical="top"/>
      <protection locked="0"/>
    </xf>
    <xf numFmtId="0" fontId="8" fillId="10" borderId="6" xfId="1" quotePrefix="1" applyFont="1" applyFill="1" applyBorder="1" applyAlignment="1" applyProtection="1">
      <alignment horizontal="center" vertical="top"/>
      <protection locked="0"/>
    </xf>
    <xf numFmtId="0" fontId="6" fillId="10" borderId="10" xfId="1" applyFont="1" applyFill="1" applyBorder="1" applyAlignment="1" applyProtection="1">
      <alignment horizontal="center" vertical="center" wrapText="1"/>
      <protection locked="0"/>
    </xf>
    <xf numFmtId="0" fontId="6" fillId="10" borderId="11" xfId="1" applyFont="1" applyFill="1" applyBorder="1" applyAlignment="1" applyProtection="1">
      <alignment horizontal="center" vertical="center" wrapText="1"/>
      <protection locked="0"/>
    </xf>
    <xf numFmtId="0" fontId="6" fillId="10" borderId="12" xfId="1" applyFont="1" applyFill="1" applyBorder="1" applyAlignment="1" applyProtection="1">
      <alignment horizontal="center" vertical="center" wrapText="1"/>
      <protection locked="0"/>
    </xf>
    <xf numFmtId="0" fontId="8" fillId="10" borderId="12" xfId="1" applyFont="1" applyFill="1" applyBorder="1" applyAlignment="1" applyProtection="1">
      <alignment horizontal="center" vertical="top" wrapText="1"/>
      <protection locked="0"/>
    </xf>
    <xf numFmtId="0" fontId="8" fillId="10" borderId="11" xfId="1" applyFont="1" applyFill="1" applyBorder="1" applyAlignment="1" applyProtection="1">
      <alignment horizontal="center" vertical="top" wrapText="1"/>
      <protection locked="0"/>
    </xf>
    <xf numFmtId="9" fontId="1" fillId="0" borderId="18" xfId="1" applyNumberFormat="1" applyBorder="1" applyAlignment="1" applyProtection="1">
      <alignment horizontal="center" vertical="top" wrapText="1"/>
      <protection locked="0"/>
    </xf>
    <xf numFmtId="0" fontId="1" fillId="0" borderId="17" xfId="1" applyBorder="1" applyAlignment="1" applyProtection="1">
      <alignment vertical="top" wrapText="1"/>
      <protection locked="0"/>
    </xf>
    <xf numFmtId="0" fontId="1" fillId="0" borderId="18" xfId="1" applyBorder="1" applyAlignment="1" applyProtection="1">
      <alignment horizontal="center" vertical="top" wrapText="1"/>
      <protection locked="0"/>
    </xf>
    <xf numFmtId="0" fontId="1" fillId="0" borderId="31" xfId="1" applyBorder="1" applyAlignment="1">
      <alignment horizontal="center" vertical="top" wrapText="1"/>
    </xf>
    <xf numFmtId="0" fontId="1" fillId="0" borderId="32" xfId="1" applyBorder="1" applyAlignment="1">
      <alignment horizontal="center" vertical="top" wrapText="1"/>
    </xf>
    <xf numFmtId="9" fontId="1" fillId="0" borderId="23" xfId="1" applyNumberFormat="1" applyBorder="1" applyAlignment="1" applyProtection="1">
      <alignment horizontal="center" vertical="top" wrapText="1"/>
      <protection locked="0"/>
    </xf>
    <xf numFmtId="0" fontId="9" fillId="0" borderId="35" xfId="1" applyFont="1" applyBorder="1" applyAlignment="1" applyProtection="1">
      <alignment horizontal="center" vertical="center" wrapText="1"/>
      <protection locked="0"/>
    </xf>
    <xf numFmtId="0" fontId="1" fillId="0" borderId="23" xfId="1" applyBorder="1" applyAlignment="1" applyProtection="1">
      <alignment horizontal="center" vertical="top" wrapText="1"/>
      <protection locked="0"/>
    </xf>
    <xf numFmtId="0" fontId="14" fillId="0" borderId="7" xfId="1" applyFont="1" applyBorder="1" applyAlignment="1">
      <alignment vertical="top" wrapText="1"/>
    </xf>
    <xf numFmtId="0" fontId="9" fillId="0" borderId="39" xfId="1" applyFont="1" applyBorder="1" applyAlignment="1" applyProtection="1">
      <alignment horizontal="center" vertical="center" wrapText="1"/>
      <protection locked="0"/>
    </xf>
    <xf numFmtId="0" fontId="9" fillId="0" borderId="40" xfId="1" applyFont="1" applyBorder="1" applyAlignment="1" applyProtection="1">
      <alignment horizontal="center" vertical="center" wrapText="1"/>
      <protection locked="0"/>
    </xf>
    <xf numFmtId="0" fontId="9" fillId="0" borderId="41" xfId="1" applyFont="1" applyBorder="1" applyAlignment="1" applyProtection="1">
      <alignment horizontal="center" vertical="center" wrapText="1"/>
      <protection locked="0"/>
    </xf>
    <xf numFmtId="0" fontId="6" fillId="10" borderId="5" xfId="1" applyFont="1" applyFill="1" applyBorder="1" applyAlignment="1" applyProtection="1">
      <alignment horizontal="center" vertical="center" wrapText="1"/>
      <protection locked="0"/>
    </xf>
    <xf numFmtId="0" fontId="6" fillId="10" borderId="6" xfId="1" applyFont="1" applyFill="1" applyBorder="1" applyAlignment="1" applyProtection="1">
      <alignment horizontal="center" vertical="center" wrapText="1"/>
      <protection locked="0"/>
    </xf>
    <xf numFmtId="0" fontId="6" fillId="10" borderId="8" xfId="1" applyFont="1" applyFill="1" applyBorder="1" applyAlignment="1" applyProtection="1">
      <alignment horizontal="center" vertical="center" wrapText="1"/>
      <protection locked="0"/>
    </xf>
    <xf numFmtId="0" fontId="8" fillId="10" borderId="8" xfId="1" applyFont="1" applyFill="1" applyBorder="1" applyAlignment="1" applyProtection="1">
      <alignment horizontal="center" vertical="top" wrapText="1"/>
      <protection locked="0"/>
    </xf>
    <xf numFmtId="0" fontId="8" fillId="10" borderId="6" xfId="1" applyFont="1" applyFill="1" applyBorder="1" applyAlignment="1" applyProtection="1">
      <alignment horizontal="center" vertical="top" wrapText="1"/>
      <protection locked="0"/>
    </xf>
    <xf numFmtId="9" fontId="1" fillId="0" borderId="42" xfId="1" applyNumberFormat="1" applyBorder="1" applyAlignment="1" applyProtection="1">
      <alignment horizontal="center" vertical="top" wrapText="1"/>
      <protection locked="0"/>
    </xf>
    <xf numFmtId="9" fontId="1" fillId="0" borderId="42" xfId="1" applyNumberFormat="1" applyBorder="1" applyAlignment="1">
      <alignment horizontal="center" vertical="top" wrapText="1"/>
    </xf>
    <xf numFmtId="0" fontId="1" fillId="0" borderId="37" xfId="1" applyBorder="1" applyAlignment="1" applyProtection="1">
      <alignment vertical="top" wrapText="1"/>
      <protection locked="0"/>
    </xf>
    <xf numFmtId="0" fontId="1" fillId="0" borderId="38" xfId="1" applyBorder="1" applyAlignment="1" applyProtection="1">
      <alignment horizontal="center" vertical="top" wrapText="1"/>
      <protection locked="0"/>
    </xf>
    <xf numFmtId="0" fontId="1" fillId="0" borderId="43" xfId="1" applyBorder="1" applyAlignment="1">
      <alignment horizontal="center" vertical="top" wrapText="1"/>
    </xf>
    <xf numFmtId="0" fontId="1" fillId="0" borderId="44" xfId="1" applyBorder="1" applyAlignment="1">
      <alignment horizontal="center" vertical="top" wrapText="1"/>
    </xf>
    <xf numFmtId="0" fontId="7" fillId="0" borderId="44" xfId="1" applyFont="1" applyBorder="1" applyAlignment="1">
      <alignment horizontal="center" vertical="top" wrapText="1"/>
    </xf>
    <xf numFmtId="0" fontId="1" fillId="0" borderId="22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9" fillId="0" borderId="45" xfId="1" applyFont="1" applyBorder="1" applyAlignment="1" applyProtection="1">
      <alignment horizontal="center" vertical="center" wrapText="1"/>
      <protection locked="0"/>
    </xf>
    <xf numFmtId="0" fontId="9" fillId="0" borderId="46" xfId="1" applyFont="1" applyBorder="1" applyAlignment="1" applyProtection="1">
      <alignment horizontal="center" vertical="center" wrapText="1"/>
      <protection locked="0"/>
    </xf>
    <xf numFmtId="0" fontId="9" fillId="0" borderId="47" xfId="1" applyFont="1" applyBorder="1" applyAlignment="1" applyProtection="1">
      <alignment horizontal="center" vertical="center" wrapText="1"/>
      <protection locked="0"/>
    </xf>
    <xf numFmtId="0" fontId="9" fillId="0" borderId="43" xfId="1" applyFont="1" applyBorder="1" applyAlignment="1" applyProtection="1">
      <alignment horizontal="center" vertical="center" wrapText="1"/>
      <protection locked="0"/>
    </xf>
    <xf numFmtId="0" fontId="9" fillId="0" borderId="38" xfId="1" applyFont="1" applyBorder="1" applyAlignment="1" applyProtection="1">
      <alignment horizontal="center" vertical="center" wrapText="1"/>
      <protection locked="0"/>
    </xf>
    <xf numFmtId="0" fontId="1" fillId="0" borderId="42" xfId="1" applyBorder="1" applyAlignment="1" applyProtection="1">
      <alignment horizontal="center" vertical="top" wrapText="1"/>
      <protection locked="0"/>
    </xf>
    <xf numFmtId="9" fontId="1" fillId="0" borderId="49" xfId="1" applyNumberFormat="1" applyBorder="1" applyAlignment="1" applyProtection="1">
      <alignment horizontal="center" vertical="top" wrapText="1"/>
      <protection locked="0"/>
    </xf>
    <xf numFmtId="0" fontId="1" fillId="0" borderId="50" xfId="1" applyBorder="1" applyAlignment="1" applyProtection="1">
      <alignment vertical="top" wrapText="1"/>
      <protection locked="0"/>
    </xf>
    <xf numFmtId="0" fontId="1" fillId="0" borderId="49" xfId="1" applyBorder="1" applyAlignment="1" applyProtection="1">
      <alignment horizontal="center" vertical="top" wrapText="1"/>
      <protection locked="0"/>
    </xf>
    <xf numFmtId="0" fontId="1" fillId="0" borderId="51" xfId="1" applyBorder="1" applyAlignment="1">
      <alignment horizontal="center" vertical="top" wrapText="1"/>
    </xf>
    <xf numFmtId="0" fontId="1" fillId="0" borderId="33" xfId="1" applyBorder="1" applyAlignment="1">
      <alignment horizontal="center" vertical="top" wrapText="1"/>
    </xf>
    <xf numFmtId="0" fontId="7" fillId="0" borderId="33" xfId="1" applyFont="1" applyBorder="1" applyAlignment="1">
      <alignment horizontal="center" vertical="top" wrapText="1"/>
    </xf>
    <xf numFmtId="9" fontId="1" fillId="0" borderId="52" xfId="1" applyNumberFormat="1" applyBorder="1" applyAlignment="1" applyProtection="1">
      <alignment horizontal="center" vertical="top" wrapText="1"/>
      <protection locked="0"/>
    </xf>
    <xf numFmtId="0" fontId="8" fillId="10" borderId="14" xfId="1" applyFont="1" applyFill="1" applyBorder="1" applyAlignment="1" applyProtection="1">
      <alignment horizontal="center" vertical="top" wrapText="1"/>
      <protection locked="0"/>
    </xf>
    <xf numFmtId="0" fontId="8" fillId="10" borderId="15" xfId="1" applyFont="1" applyFill="1" applyBorder="1" applyAlignment="1" applyProtection="1">
      <alignment horizontal="center" vertical="top" wrapText="1"/>
      <protection locked="0"/>
    </xf>
    <xf numFmtId="0" fontId="9" fillId="0" borderId="17" xfId="1" applyFont="1" applyBorder="1" applyAlignment="1" applyProtection="1">
      <alignment horizontal="center" vertical="center" wrapText="1"/>
      <protection locked="0"/>
    </xf>
    <xf numFmtId="0" fontId="9" fillId="0" borderId="48" xfId="1" applyFont="1" applyBorder="1" applyAlignment="1" applyProtection="1">
      <alignment horizontal="center" vertical="center" wrapText="1"/>
      <protection locked="0"/>
    </xf>
    <xf numFmtId="0" fontId="1" fillId="0" borderId="1" xfId="1" applyBorder="1" applyAlignment="1">
      <alignment horizontal="center" vertical="top" wrapText="1"/>
    </xf>
    <xf numFmtId="0" fontId="1" fillId="0" borderId="53" xfId="1" applyBorder="1" applyAlignment="1">
      <alignment horizontal="center" vertical="top" wrapText="1"/>
    </xf>
    <xf numFmtId="0" fontId="7" fillId="0" borderId="53" xfId="1" applyFont="1" applyBorder="1" applyAlignment="1">
      <alignment horizontal="center" vertical="top" wrapText="1"/>
    </xf>
    <xf numFmtId="0" fontId="9" fillId="0" borderId="54" xfId="1" applyFont="1" applyBorder="1" applyAlignment="1" applyProtection="1">
      <alignment horizontal="center" vertical="center" wrapText="1"/>
      <protection locked="0"/>
    </xf>
    <xf numFmtId="0" fontId="9" fillId="0" borderId="56" xfId="1" applyFont="1" applyBorder="1" applyAlignment="1" applyProtection="1">
      <alignment horizontal="center" vertical="center" wrapText="1"/>
      <protection locked="0"/>
    </xf>
    <xf numFmtId="0" fontId="1" fillId="0" borderId="52" xfId="1" applyBorder="1" applyAlignment="1" applyProtection="1">
      <alignment horizontal="center" vertical="top" wrapText="1"/>
      <protection locked="0"/>
    </xf>
    <xf numFmtId="0" fontId="8" fillId="10" borderId="14" xfId="1" applyFont="1" applyFill="1" applyBorder="1" applyAlignment="1" applyProtection="1">
      <alignment vertical="top" wrapText="1"/>
      <protection locked="0"/>
    </xf>
    <xf numFmtId="0" fontId="8" fillId="10" borderId="15" xfId="1" applyFont="1" applyFill="1" applyBorder="1" applyAlignment="1" applyProtection="1">
      <alignment vertical="top" wrapText="1"/>
      <protection locked="0"/>
    </xf>
    <xf numFmtId="0" fontId="15" fillId="0" borderId="7" xfId="1" applyFont="1" applyBorder="1" applyAlignment="1">
      <alignment horizontal="center" vertical="top" wrapText="1"/>
    </xf>
    <xf numFmtId="0" fontId="9" fillId="0" borderId="51" xfId="1" applyFont="1" applyBorder="1" applyAlignment="1" applyProtection="1">
      <alignment horizontal="center" vertical="center" wrapText="1"/>
      <protection locked="0"/>
    </xf>
    <xf numFmtId="9" fontId="1" fillId="0" borderId="52" xfId="1" applyNumberFormat="1" applyBorder="1" applyAlignment="1">
      <alignment horizontal="center" vertical="top" wrapText="1"/>
    </xf>
    <xf numFmtId="0" fontId="1" fillId="0" borderId="7" xfId="1" applyBorder="1" applyAlignment="1" applyProtection="1">
      <alignment vertical="top" wrapText="1"/>
      <protection locked="0"/>
    </xf>
    <xf numFmtId="0" fontId="1" fillId="0" borderId="7" xfId="1" applyBorder="1" applyAlignment="1" applyProtection="1">
      <alignment horizontal="center" vertical="top" wrapText="1"/>
      <protection locked="0"/>
    </xf>
    <xf numFmtId="0" fontId="1" fillId="2" borderId="7" xfId="1" applyFill="1" applyBorder="1" applyAlignment="1">
      <alignment horizontal="center" vertical="top" wrapText="1"/>
    </xf>
    <xf numFmtId="9" fontId="1" fillId="0" borderId="49" xfId="1" applyNumberFormat="1" applyBorder="1" applyAlignment="1">
      <alignment horizontal="center" vertical="top" wrapText="1"/>
    </xf>
    <xf numFmtId="0" fontId="1" fillId="0" borderId="0" xfId="1" applyAlignment="1" applyProtection="1">
      <alignment vertical="top" wrapText="1"/>
      <protection locked="0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9" fillId="0" borderId="13" xfId="1" applyFont="1" applyBorder="1" applyAlignment="1" applyProtection="1">
      <alignment horizontal="center" vertical="center" wrapText="1"/>
      <protection locked="0"/>
    </xf>
    <xf numFmtId="16" fontId="1" fillId="0" borderId="37" xfId="1" applyNumberFormat="1" applyBorder="1" applyAlignment="1" applyProtection="1">
      <alignment vertical="top" wrapText="1"/>
      <protection locked="0"/>
    </xf>
    <xf numFmtId="0" fontId="1" fillId="0" borderId="19" xfId="1" applyBorder="1" applyAlignment="1" applyProtection="1">
      <alignment vertical="top" wrapText="1"/>
      <protection locked="0"/>
    </xf>
    <xf numFmtId="0" fontId="1" fillId="0" borderId="26" xfId="1" applyBorder="1" applyAlignment="1" applyProtection="1">
      <alignment vertical="top" wrapText="1"/>
      <protection locked="0"/>
    </xf>
    <xf numFmtId="0" fontId="9" fillId="0" borderId="59" xfId="1" applyFont="1" applyBorder="1" applyAlignment="1" applyProtection="1">
      <alignment horizontal="center" vertical="center" wrapText="1"/>
      <protection locked="0"/>
    </xf>
    <xf numFmtId="0" fontId="9" fillId="0" borderId="27" xfId="1" applyFont="1" applyBorder="1" applyAlignment="1" applyProtection="1">
      <alignment horizontal="center" vertical="center" wrapText="1"/>
      <protection locked="0"/>
    </xf>
    <xf numFmtId="0" fontId="1" fillId="0" borderId="59" xfId="1" applyBorder="1" applyAlignment="1">
      <alignment horizontal="center" vertical="top" wrapText="1"/>
    </xf>
    <xf numFmtId="0" fontId="1" fillId="0" borderId="40" xfId="1" applyBorder="1" applyAlignment="1">
      <alignment horizontal="center" vertical="top" wrapText="1"/>
    </xf>
    <xf numFmtId="0" fontId="7" fillId="0" borderId="40" xfId="1" applyFont="1" applyBorder="1" applyAlignment="1">
      <alignment horizontal="center" vertical="top" wrapText="1"/>
    </xf>
    <xf numFmtId="0" fontId="7" fillId="2" borderId="33" xfId="1" applyFont="1" applyFill="1" applyBorder="1" applyAlignment="1">
      <alignment horizontal="center" vertical="top" wrapText="1"/>
    </xf>
    <xf numFmtId="0" fontId="1" fillId="0" borderId="17" xfId="1" applyBorder="1" applyAlignment="1" applyProtection="1">
      <alignment horizontal="center" vertical="top" wrapText="1"/>
      <protection locked="0"/>
    </xf>
    <xf numFmtId="0" fontId="1" fillId="0" borderId="20" xfId="1" applyBorder="1" applyAlignment="1" applyProtection="1">
      <alignment horizontal="center" vertical="top" wrapText="1"/>
      <protection locked="0"/>
    </xf>
    <xf numFmtId="0" fontId="7" fillId="0" borderId="7" xfId="1" applyFont="1" applyBorder="1" applyAlignment="1">
      <alignment vertical="top" wrapText="1"/>
    </xf>
    <xf numFmtId="0" fontId="1" fillId="0" borderId="50" xfId="1" applyBorder="1" applyAlignment="1" applyProtection="1">
      <alignment horizontal="center" vertical="top" wrapText="1"/>
      <protection locked="0"/>
    </xf>
    <xf numFmtId="0" fontId="7" fillId="0" borderId="51" xfId="1" applyFont="1" applyBorder="1" applyAlignment="1">
      <alignment horizontal="center" vertical="top" wrapText="1"/>
    </xf>
    <xf numFmtId="0" fontId="7" fillId="0" borderId="33" xfId="1" applyFont="1" applyBorder="1" applyAlignment="1">
      <alignment vertical="top" wrapText="1"/>
    </xf>
    <xf numFmtId="9" fontId="1" fillId="0" borderId="34" xfId="1" applyNumberFormat="1" applyBorder="1" applyAlignment="1" applyProtection="1">
      <alignment horizontal="center" vertical="top" wrapText="1"/>
      <protection locked="0"/>
    </xf>
    <xf numFmtId="0" fontId="1" fillId="0" borderId="26" xfId="1" applyBorder="1" applyAlignment="1" applyProtection="1">
      <alignment horizontal="center" vertical="top" wrapText="1"/>
      <protection locked="0"/>
    </xf>
    <xf numFmtId="0" fontId="7" fillId="0" borderId="59" xfId="1" applyFont="1" applyBorder="1" applyAlignment="1">
      <alignment horizontal="center" vertical="top" wrapText="1"/>
    </xf>
    <xf numFmtId="0" fontId="7" fillId="0" borderId="40" xfId="1" applyFont="1" applyBorder="1" applyAlignment="1">
      <alignment vertical="top" wrapText="1"/>
    </xf>
    <xf numFmtId="9" fontId="1" fillId="0" borderId="14" xfId="1" applyNumberFormat="1" applyBorder="1" applyAlignment="1" applyProtection="1">
      <alignment horizontal="center" vertical="top" wrapText="1"/>
      <protection locked="0"/>
    </xf>
    <xf numFmtId="0" fontId="1" fillId="0" borderId="6" xfId="1" applyBorder="1" applyAlignment="1" applyProtection="1">
      <alignment vertical="top" wrapText="1"/>
      <protection locked="0"/>
    </xf>
    <xf numFmtId="0" fontId="1" fillId="0" borderId="14" xfId="1" applyBorder="1" applyAlignment="1" applyProtection="1">
      <alignment horizontal="center" vertical="top" wrapText="1"/>
      <protection locked="0"/>
    </xf>
    <xf numFmtId="0" fontId="1" fillId="0" borderId="6" xfId="1" applyBorder="1" applyAlignment="1" applyProtection="1">
      <alignment horizontal="center" vertical="top" wrapText="1"/>
      <protection locked="0"/>
    </xf>
    <xf numFmtId="0" fontId="1" fillId="0" borderId="60" xfId="1" applyBorder="1" applyAlignment="1">
      <alignment horizontal="center" vertical="top" wrapText="1"/>
    </xf>
    <xf numFmtId="0" fontId="1" fillId="0" borderId="61" xfId="1" applyBorder="1" applyAlignment="1">
      <alignment horizontal="center" vertical="top" wrapText="1"/>
    </xf>
    <xf numFmtId="0" fontId="7" fillId="0" borderId="61" xfId="1" applyFont="1" applyBorder="1" applyAlignment="1">
      <alignment horizontal="center" vertical="top" wrapText="1"/>
    </xf>
    <xf numFmtId="0" fontId="16" fillId="10" borderId="0" xfId="1" applyFont="1" applyFill="1" applyAlignment="1" applyProtection="1">
      <alignment vertical="top" wrapText="1"/>
      <protection locked="0"/>
    </xf>
    <xf numFmtId="0" fontId="17" fillId="10" borderId="9" xfId="1" applyFont="1" applyFill="1" applyBorder="1" applyAlignment="1" applyProtection="1">
      <alignment horizontal="center" vertical="center" wrapText="1"/>
      <protection locked="0"/>
    </xf>
    <xf numFmtId="0" fontId="17" fillId="10" borderId="0" xfId="1" applyFont="1" applyFill="1" applyAlignment="1" applyProtection="1">
      <alignment horizontal="center" vertical="center" wrapText="1"/>
      <protection locked="0"/>
    </xf>
    <xf numFmtId="0" fontId="17" fillId="10" borderId="13" xfId="1" applyFont="1" applyFill="1" applyBorder="1" applyAlignment="1" applyProtection="1">
      <alignment horizontal="center" vertical="center" wrapText="1"/>
      <protection locked="0"/>
    </xf>
    <xf numFmtId="0" fontId="16" fillId="10" borderId="28" xfId="1" applyFont="1" applyFill="1" applyBorder="1" applyAlignment="1" applyProtection="1">
      <alignment horizontal="center" vertical="top" wrapText="1"/>
      <protection locked="0"/>
    </xf>
    <xf numFmtId="0" fontId="16" fillId="10" borderId="0" xfId="1" applyFont="1" applyFill="1" applyAlignment="1" applyProtection="1">
      <alignment horizontal="center" vertical="top" wrapText="1"/>
      <protection locked="0"/>
    </xf>
    <xf numFmtId="9" fontId="1" fillId="0" borderId="14" xfId="1" applyNumberFormat="1" applyBorder="1" applyAlignment="1">
      <alignment horizontal="center" vertical="top" wrapText="1"/>
    </xf>
    <xf numFmtId="0" fontId="1" fillId="0" borderId="20" xfId="1" applyBorder="1" applyProtection="1">
      <protection locked="0"/>
    </xf>
    <xf numFmtId="0" fontId="1" fillId="0" borderId="19" xfId="1" applyBorder="1" applyAlignment="1" applyProtection="1">
      <alignment horizontal="center"/>
      <protection locked="0"/>
    </xf>
    <xf numFmtId="0" fontId="1" fillId="0" borderId="20" xfId="1" applyBorder="1" applyAlignment="1" applyProtection="1">
      <alignment horizontal="center"/>
      <protection locked="0"/>
    </xf>
    <xf numFmtId="0" fontId="1" fillId="0" borderId="7" xfId="1" applyBorder="1"/>
    <xf numFmtId="0" fontId="1" fillId="0" borderId="26" xfId="1" applyBorder="1" applyProtection="1">
      <protection locked="0"/>
    </xf>
    <xf numFmtId="0" fontId="9" fillId="0" borderId="39" xfId="1" applyFont="1" applyBorder="1" applyAlignment="1" applyProtection="1">
      <alignment horizontal="center" vertical="center"/>
      <protection locked="0"/>
    </xf>
    <xf numFmtId="0" fontId="9" fillId="0" borderId="59" xfId="1" applyFont="1" applyBorder="1" applyAlignment="1" applyProtection="1">
      <alignment horizontal="center" vertical="center"/>
      <protection locked="0"/>
    </xf>
    <xf numFmtId="0" fontId="9" fillId="0" borderId="27" xfId="1" applyFont="1" applyBorder="1" applyAlignment="1" applyProtection="1">
      <alignment horizontal="center" vertical="center"/>
      <protection locked="0"/>
    </xf>
    <xf numFmtId="0" fontId="1" fillId="0" borderId="52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40" xfId="1" applyBorder="1"/>
    <xf numFmtId="0" fontId="7" fillId="0" borderId="40" xfId="1" applyFont="1" applyBorder="1"/>
    <xf numFmtId="0" fontId="1" fillId="0" borderId="0" xfId="1" applyAlignment="1">
      <alignment vertical="top" wrapText="1"/>
    </xf>
    <xf numFmtId="0" fontId="7" fillId="0" borderId="0" xfId="1" applyFont="1"/>
    <xf numFmtId="0" fontId="1" fillId="0" borderId="24" xfId="1" applyBorder="1" applyAlignment="1">
      <alignment horizontal="left" vertical="top" wrapText="1"/>
    </xf>
    <xf numFmtId="0" fontId="1" fillId="0" borderId="20" xfId="1" applyBorder="1" applyAlignment="1">
      <alignment horizontal="left" vertical="top" wrapText="1"/>
    </xf>
    <xf numFmtId="0" fontId="1" fillId="0" borderId="23" xfId="1" applyBorder="1" applyAlignment="1">
      <alignment horizontal="left" vertical="top" wrapText="1"/>
    </xf>
    <xf numFmtId="0" fontId="1" fillId="0" borderId="25" xfId="1" applyBorder="1" applyAlignment="1">
      <alignment horizontal="left" vertical="top" wrapText="1"/>
    </xf>
    <xf numFmtId="0" fontId="1" fillId="0" borderId="26" xfId="1" applyBorder="1" applyAlignment="1">
      <alignment horizontal="left" vertical="top" wrapText="1"/>
    </xf>
    <xf numFmtId="0" fontId="1" fillId="0" borderId="27" xfId="1" applyBorder="1" applyAlignment="1">
      <alignment horizontal="left" vertical="top" wrapText="1"/>
    </xf>
    <xf numFmtId="9" fontId="8" fillId="10" borderId="14" xfId="1" applyNumberFormat="1" applyFont="1" applyFill="1" applyBorder="1" applyAlignment="1">
      <alignment horizontal="center" vertical="center" wrapText="1"/>
    </xf>
    <xf numFmtId="9" fontId="8" fillId="10" borderId="15" xfId="1" applyNumberFormat="1" applyFont="1" applyFill="1" applyBorder="1" applyAlignment="1">
      <alignment horizontal="center" vertical="center" wrapText="1"/>
    </xf>
    <xf numFmtId="1" fontId="12" fillId="10" borderId="11" xfId="1" applyNumberFormat="1" applyFont="1" applyFill="1" applyBorder="1" applyAlignment="1">
      <alignment horizontal="center" vertical="center"/>
    </xf>
    <xf numFmtId="1" fontId="12" fillId="10" borderId="12" xfId="1" applyNumberFormat="1" applyFont="1" applyFill="1" applyBorder="1" applyAlignment="1">
      <alignment horizontal="center" vertical="center"/>
    </xf>
    <xf numFmtId="0" fontId="1" fillId="0" borderId="16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1" fillId="0" borderId="18" xfId="1" applyBorder="1" applyAlignment="1">
      <alignment horizontal="left" vertical="top" wrapText="1"/>
    </xf>
    <xf numFmtId="164" fontId="8" fillId="10" borderId="14" xfId="1" applyNumberFormat="1" applyFont="1" applyFill="1" applyBorder="1" applyAlignment="1">
      <alignment horizontal="center" vertical="center"/>
    </xf>
    <xf numFmtId="164" fontId="8" fillId="10" borderId="15" xfId="1" applyNumberFormat="1" applyFont="1" applyFill="1" applyBorder="1" applyAlignment="1">
      <alignment horizontal="center" vertical="center"/>
    </xf>
    <xf numFmtId="1" fontId="12" fillId="10" borderId="5" xfId="1" applyNumberFormat="1" applyFont="1" applyFill="1" applyBorder="1" applyAlignment="1">
      <alignment horizontal="center" vertical="center"/>
    </xf>
    <xf numFmtId="1" fontId="12" fillId="10" borderId="10" xfId="1" applyNumberFormat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vertical="top" wrapText="1"/>
    </xf>
    <xf numFmtId="0" fontId="8" fillId="10" borderId="8" xfId="1" applyFont="1" applyFill="1" applyBorder="1" applyAlignment="1">
      <alignment vertical="top" wrapText="1"/>
    </xf>
    <xf numFmtId="0" fontId="8" fillId="10" borderId="11" xfId="1" applyFont="1" applyFill="1" applyBorder="1" applyAlignment="1">
      <alignment vertical="top" wrapText="1"/>
    </xf>
    <xf numFmtId="0" fontId="8" fillId="10" borderId="12" xfId="1" applyFont="1" applyFill="1" applyBorder="1" applyAlignment="1">
      <alignment vertical="top" wrapText="1"/>
    </xf>
    <xf numFmtId="0" fontId="1" fillId="0" borderId="48" xfId="1" applyBorder="1" applyAlignment="1">
      <alignment horizontal="left" vertical="top" wrapText="1"/>
    </xf>
    <xf numFmtId="0" fontId="1" fillId="0" borderId="22" xfId="1" applyBorder="1" applyAlignment="1">
      <alignment horizontal="left" vertical="top" wrapText="1"/>
    </xf>
    <xf numFmtId="0" fontId="1" fillId="0" borderId="57" xfId="1" applyBorder="1" applyAlignment="1">
      <alignment horizontal="left" vertical="top" wrapText="1"/>
    </xf>
    <xf numFmtId="0" fontId="1" fillId="0" borderId="50" xfId="1" applyBorder="1" applyAlignment="1">
      <alignment horizontal="left" vertical="top" wrapText="1"/>
    </xf>
    <xf numFmtId="0" fontId="1" fillId="0" borderId="34" xfId="1" applyBorder="1" applyAlignment="1">
      <alignment horizontal="left" vertical="top" wrapText="1"/>
    </xf>
    <xf numFmtId="0" fontId="1" fillId="0" borderId="36" xfId="1" applyBorder="1" applyAlignment="1">
      <alignment horizontal="left" vertical="top" wrapText="1"/>
    </xf>
    <xf numFmtId="0" fontId="1" fillId="0" borderId="55" xfId="1" applyBorder="1" applyAlignment="1">
      <alignment horizontal="left" vertical="top" wrapText="1"/>
    </xf>
    <xf numFmtId="0" fontId="1" fillId="0" borderId="58" xfId="1" applyBorder="1" applyAlignment="1">
      <alignment horizontal="left" vertical="top" wrapText="1"/>
    </xf>
    <xf numFmtId="0" fontId="1" fillId="0" borderId="37" xfId="1" applyBorder="1" applyAlignment="1">
      <alignment horizontal="left" vertical="top" wrapText="1"/>
    </xf>
    <xf numFmtId="0" fontId="1" fillId="0" borderId="38" xfId="1" applyBorder="1" applyAlignment="1">
      <alignment horizontal="left" vertical="top" wrapText="1"/>
    </xf>
    <xf numFmtId="0" fontId="1" fillId="0" borderId="21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35" xfId="1" applyBorder="1" applyAlignment="1">
      <alignment horizontal="left" vertical="top" wrapText="1"/>
    </xf>
    <xf numFmtId="0" fontId="1" fillId="0" borderId="16" xfId="1" applyBorder="1" applyAlignment="1">
      <alignment horizontal="left" vertical="top"/>
    </xf>
    <xf numFmtId="0" fontId="1" fillId="0" borderId="17" xfId="1" applyBorder="1" applyAlignment="1">
      <alignment horizontal="left" vertical="top"/>
    </xf>
    <xf numFmtId="0" fontId="1" fillId="0" borderId="18" xfId="1" applyBorder="1" applyAlignment="1">
      <alignment horizontal="left" vertical="top"/>
    </xf>
    <xf numFmtId="0" fontId="11" fillId="10" borderId="14" xfId="1" applyFont="1" applyFill="1" applyBorder="1" applyAlignment="1" applyProtection="1">
      <alignment horizontal="center" vertical="center" textRotation="90" wrapText="1"/>
      <protection locked="0"/>
    </xf>
    <xf numFmtId="0" fontId="11" fillId="10" borderId="15" xfId="1" applyFont="1" applyFill="1" applyBorder="1" applyAlignment="1" applyProtection="1">
      <alignment horizontal="center" vertical="center" textRotation="90" wrapText="1"/>
      <protection locked="0"/>
    </xf>
    <xf numFmtId="0" fontId="7" fillId="10" borderId="5" xfId="1" applyFont="1" applyFill="1" applyBorder="1" applyAlignment="1" applyProtection="1">
      <alignment horizontal="center" vertical="center" wrapText="1"/>
      <protection locked="0"/>
    </xf>
    <xf numFmtId="0" fontId="7" fillId="10" borderId="10" xfId="1" applyFont="1" applyFill="1" applyBorder="1" applyAlignment="1" applyProtection="1">
      <alignment horizontal="center" vertical="center" wrapText="1"/>
      <protection locked="0"/>
    </xf>
    <xf numFmtId="164" fontId="8" fillId="7" borderId="5" xfId="1" applyNumberFormat="1" applyFont="1" applyFill="1" applyBorder="1" applyAlignment="1">
      <alignment horizontal="center" vertical="top"/>
    </xf>
    <xf numFmtId="164" fontId="8" fillId="7" borderId="6" xfId="1" applyNumberFormat="1" applyFont="1" applyFill="1" applyBorder="1" applyAlignment="1">
      <alignment horizontal="center" vertical="top"/>
    </xf>
    <xf numFmtId="164" fontId="8" fillId="7" borderId="8" xfId="1" applyNumberFormat="1" applyFont="1" applyFill="1" applyBorder="1" applyAlignment="1">
      <alignment horizontal="center" vertical="top"/>
    </xf>
    <xf numFmtId="0" fontId="3" fillId="0" borderId="0" xfId="1" applyFont="1" applyAlignment="1" applyProtection="1">
      <alignment horizontal="center" vertical="center"/>
      <protection locked="0"/>
    </xf>
    <xf numFmtId="0" fontId="8" fillId="10" borderId="5" xfId="1" applyFont="1" applyFill="1" applyBorder="1" applyAlignment="1" applyProtection="1">
      <alignment horizontal="center" vertical="center" wrapText="1"/>
      <protection locked="0"/>
    </xf>
    <xf numFmtId="0" fontId="8" fillId="10" borderId="6" xfId="1" applyFont="1" applyFill="1" applyBorder="1" applyAlignment="1" applyProtection="1">
      <alignment horizontal="center" vertical="center" wrapText="1"/>
      <protection locked="0"/>
    </xf>
    <xf numFmtId="0" fontId="8" fillId="10" borderId="8" xfId="1" applyFont="1" applyFill="1" applyBorder="1" applyAlignment="1" applyProtection="1">
      <alignment horizontal="center" vertical="center" wrapText="1"/>
      <protection locked="0"/>
    </xf>
    <xf numFmtId="0" fontId="8" fillId="10" borderId="10" xfId="1" applyFont="1" applyFill="1" applyBorder="1" applyAlignment="1" applyProtection="1">
      <alignment horizontal="center" vertical="center" wrapText="1"/>
      <protection locked="0"/>
    </xf>
    <xf numFmtId="0" fontId="8" fillId="10" borderId="11" xfId="1" applyFont="1" applyFill="1" applyBorder="1" applyAlignment="1" applyProtection="1">
      <alignment horizontal="center" vertical="center" wrapText="1"/>
      <protection locked="0"/>
    </xf>
    <xf numFmtId="0" fontId="8" fillId="10" borderId="12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64" fontId="4" fillId="0" borderId="6" xfId="1" applyNumberFormat="1" applyFont="1" applyBorder="1" applyAlignment="1">
      <alignment horizontal="center" textRotation="90" wrapText="1"/>
    </xf>
    <xf numFmtId="0" fontId="4" fillId="0" borderId="0" xfId="1" applyFont="1" applyAlignment="1">
      <alignment horizontal="center" textRotation="90" wrapText="1"/>
    </xf>
    <xf numFmtId="0" fontId="7" fillId="3" borderId="5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8" xfId="1" applyFont="1" applyFill="1" applyBorder="1" applyAlignment="1">
      <alignment horizontal="center"/>
    </xf>
    <xf numFmtId="164" fontId="7" fillId="3" borderId="5" xfId="1" applyNumberFormat="1" applyFont="1" applyFill="1" applyBorder="1" applyAlignment="1">
      <alignment horizontal="center" vertical="center"/>
    </xf>
    <xf numFmtId="164" fontId="7" fillId="3" borderId="10" xfId="1" applyNumberFormat="1" applyFont="1" applyFill="1" applyBorder="1" applyAlignment="1">
      <alignment horizontal="center" vertical="center"/>
    </xf>
    <xf numFmtId="1" fontId="8" fillId="3" borderId="8" xfId="1" applyNumberFormat="1" applyFont="1" applyFill="1" applyBorder="1" applyAlignment="1" applyProtection="1">
      <alignment horizontal="center" vertical="center"/>
      <protection locked="0"/>
    </xf>
    <xf numFmtId="1" fontId="8" fillId="3" borderId="12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164" fontId="8" fillId="3" borderId="10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164" fontId="8" fillId="3" borderId="12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4" fillId="0" borderId="5" xfId="1" applyFont="1" applyBorder="1" applyAlignment="1">
      <alignment horizontal="center" textRotation="90"/>
    </xf>
    <xf numFmtId="0" fontId="4" fillId="0" borderId="9" xfId="1" applyFont="1" applyBorder="1" applyAlignment="1">
      <alignment horizontal="center" textRotation="90"/>
    </xf>
    <xf numFmtId="0" fontId="4" fillId="0" borderId="6" xfId="1" applyFont="1" applyBorder="1" applyAlignment="1">
      <alignment horizontal="center" textRotation="90"/>
    </xf>
    <xf numFmtId="0" fontId="4" fillId="0" borderId="0" xfId="1" applyFont="1" applyAlignment="1">
      <alignment horizontal="center" textRotation="90"/>
    </xf>
    <xf numFmtId="0" fontId="9" fillId="0" borderId="0" xfId="1" applyFont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Normal 5" xfId="1" xr:uid="{FEC227A2-D1FE-4051-A751-DE7B35BCA0F0}"/>
  </cellStyles>
  <dxfs count="379"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5"/>
        </patternFill>
      </fill>
    </dxf>
    <dxf>
      <font>
        <b/>
        <i val="0"/>
        <condense val="0"/>
        <extend val="0"/>
        <color auto="1"/>
      </font>
      <fill>
        <patternFill>
          <bgColor indexed="4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9900"/>
      </font>
      <fill>
        <patternFill>
          <bgColor rgb="FFFFFFCC"/>
        </patternFill>
      </fill>
    </dxf>
    <dxf>
      <font>
        <color theme="4"/>
      </font>
      <fill>
        <patternFill>
          <bgColor theme="3" tint="0.89996032593768116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AA-D1.0 Arr&#234;t Annuel'!A1"/><Relationship Id="rId1" Type="http://schemas.openxmlformats.org/officeDocument/2006/relationships/hyperlink" Target="#Accuei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42</xdr:row>
      <xdr:rowOff>47625</xdr:rowOff>
    </xdr:from>
    <xdr:to>
      <xdr:col>0</xdr:col>
      <xdr:colOff>1971675</xdr:colOff>
      <xdr:row>44</xdr:row>
      <xdr:rowOff>57150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4D5A0-328D-44B2-A077-FD0F86C7AF60}"/>
            </a:ext>
          </a:extLst>
        </xdr:cNvPr>
        <xdr:cNvSpPr/>
      </xdr:nvSpPr>
      <xdr:spPr>
        <a:xfrm>
          <a:off x="142875" y="8553450"/>
          <a:ext cx="1828800" cy="409575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MENU</a:t>
          </a:r>
          <a:r>
            <a:rPr lang="fr-FR" sz="1100" baseline="0"/>
            <a:t> PRINCIPAL</a:t>
          </a:r>
          <a:endParaRPr lang="fr-FR" sz="1100"/>
        </a:p>
      </xdr:txBody>
    </xdr:sp>
    <xdr:clientData/>
  </xdr:twoCellAnchor>
  <xdr:twoCellAnchor>
    <xdr:from>
      <xdr:col>0</xdr:col>
      <xdr:colOff>171450</xdr:colOff>
      <xdr:row>38</xdr:row>
      <xdr:rowOff>57150</xdr:rowOff>
    </xdr:from>
    <xdr:to>
      <xdr:col>0</xdr:col>
      <xdr:colOff>2000250</xdr:colOff>
      <xdr:row>40</xdr:row>
      <xdr:rowOff>104775</xdr:rowOff>
    </xdr:to>
    <xdr:sp macro="" textlink="">
      <xdr:nvSpPr>
        <xdr:cNvPr id="3" name="Rectangle : coins arrondi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F6BD63-6B86-4996-9C68-3150FADE93C0}"/>
            </a:ext>
          </a:extLst>
        </xdr:cNvPr>
        <xdr:cNvSpPr/>
      </xdr:nvSpPr>
      <xdr:spPr>
        <a:xfrm>
          <a:off x="171450" y="7800975"/>
          <a:ext cx="1828800" cy="428625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D1.0 Arrêt Annuel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iotinto-my.sharepoint.com/personal/catherine_fourcade_riotinto_com/Documents/Documents/Travaux%20Cath's%20Eyes%20.xlsm" TargetMode="External"/><Relationship Id="rId1" Type="http://schemas.openxmlformats.org/officeDocument/2006/relationships/externalLinkPath" Target="/personal/catherine_fourcade_riotinto_com/Documents/Documents/Travaux%20Cath's%20Eyes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233;l&#233;chargements\Planning%20r&#233;f&#233;renc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AA-Paramètres"/>
      <sheetName val="AA-D1.0 Arrêt Annuel"/>
      <sheetName val="AA-D2.0 Contacts"/>
      <sheetName val="AA-D2.0 Organigramme"/>
      <sheetName val="AA-D3.0-Stratégie Appro"/>
      <sheetName val="AA-D3.1-Calendrier Préliminaire"/>
      <sheetName val="AA-PL1.0-Plan d'entretiens"/>
      <sheetName val="AA-PL1.1 -IW37N"/>
      <sheetName val="AA-PL1.2-TP et PW"/>
      <sheetName val="To Do"/>
      <sheetName val="Arrêt Annuel"/>
      <sheetName val="AVIS A91CS"/>
      <sheetName val="IW37N EXT"/>
      <sheetName val="IW37N CPM"/>
      <sheetName val="FORMULES"/>
      <sheetName val="FETCH"/>
      <sheetName val="AA-PL2.0 Calendrier"/>
      <sheetName val="AA-PL2.1- Calendrier détails"/>
      <sheetName val="AA-PL3.0- Avis et Projets"/>
      <sheetName val="AA-IW28"/>
      <sheetName val="AA-PL4.0 - Préparation Travaux "/>
      <sheetName val="AA-PL5.0-Externes"/>
      <sheetName val="AA-PL6.0 Analyse de Risques"/>
      <sheetName val="AA-PL7.0 Commandes long Délais"/>
      <sheetName val="AA-PL7.1 Gestion des Lots"/>
      <sheetName val="AA-PL7.2 Budget"/>
      <sheetName val="AA-IP18"/>
      <sheetName val="Feuil20"/>
      <sheetName val="Tableau"/>
      <sheetName val="Paramètres"/>
      <sheetName val="TVX EXT"/>
      <sheetName val="Backlog A91CS"/>
      <sheetName val="TRV EXT Terminés"/>
      <sheetName val="Détails EXT"/>
      <sheetName val="Budget EXT"/>
      <sheetName val="Calendrier"/>
      <sheetName val="Liste trx KOBM"/>
      <sheetName val="Calendrier C-O KOBM"/>
      <sheetName val="Détails KOBM"/>
      <sheetName val="Réunion PREP"/>
      <sheetName val="Prework KOBM"/>
      <sheetName val="Séq E-S KOBM"/>
      <sheetName val="Matériel KOBM"/>
      <sheetName val="Échéancier KOBM"/>
    </sheetNames>
    <sheetDataSet>
      <sheetData sheetId="0">
        <row r="25">
          <cell r="H25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voulu"/>
      <sheetName val="Planning calcul OK"/>
      <sheetName val="Données "/>
    </sheetNames>
    <sheetDataSet>
      <sheetData sheetId="0" refreshError="1"/>
      <sheetData sheetId="1" refreshError="1"/>
      <sheetData sheetId="2">
        <row r="2">
          <cell r="K2" t="str">
            <v>Fabrication</v>
          </cell>
        </row>
        <row r="3">
          <cell r="K3" t="str">
            <v>Débit</v>
          </cell>
        </row>
        <row r="4">
          <cell r="K4" t="str">
            <v>Découpe</v>
          </cell>
        </row>
        <row r="5">
          <cell r="K5" t="str">
            <v>Perçage</v>
          </cell>
        </row>
        <row r="6">
          <cell r="K6" t="str">
            <v>Pliage</v>
          </cell>
        </row>
        <row r="7">
          <cell r="K7" t="str">
            <v>Usinage</v>
          </cell>
        </row>
        <row r="8">
          <cell r="K8" t="str">
            <v>Assemblage</v>
          </cell>
        </row>
        <row r="9">
          <cell r="K9" t="str">
            <v>Finition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CF02-5C40-4626-B3FB-B829A8AE7B17}">
  <sheetPr codeName="Feuil26">
    <pageSetUpPr fitToPage="1"/>
  </sheetPr>
  <dimension ref="A1:AX221"/>
  <sheetViews>
    <sheetView tabSelected="1" topLeftCell="A176" zoomScaleNormal="100" workbookViewId="0">
      <selection activeCell="C209" sqref="C209:I209"/>
    </sheetView>
  </sheetViews>
  <sheetFormatPr baseColWidth="10" defaultColWidth="11.42578125" defaultRowHeight="15"/>
  <cols>
    <col min="1" max="1" width="34.7109375" style="7" customWidth="1"/>
    <col min="2" max="2" width="1.85546875" customWidth="1"/>
    <col min="3" max="3" width="13.85546875" style="16" customWidth="1"/>
    <col min="4" max="4" width="7" style="16" customWidth="1"/>
    <col min="5" max="5" width="6.7109375" style="16" customWidth="1"/>
    <col min="6" max="6" width="16.28515625" style="16" customWidth="1"/>
    <col min="7" max="8" width="13.85546875" style="16" customWidth="1"/>
    <col min="9" max="9" width="25.5703125" style="16" customWidth="1"/>
    <col min="10" max="10" width="7.42578125" style="16" customWidth="1"/>
    <col min="11" max="11" width="6.5703125" style="16" customWidth="1"/>
    <col min="12" max="12" width="59.5703125" style="38" customWidth="1"/>
    <col min="13" max="13" width="4.28515625" style="5" customWidth="1"/>
    <col min="14" max="14" width="3.85546875" style="5" customWidth="1"/>
    <col min="15" max="17" width="3.7109375" style="5" customWidth="1"/>
    <col min="18" max="18" width="4.7109375" style="5" customWidth="1"/>
    <col min="19" max="19" width="4.5703125" style="6" customWidth="1"/>
    <col min="20" max="20" width="14.5703125" style="6" customWidth="1"/>
    <col min="21" max="23" width="5.7109375" style="16" customWidth="1"/>
    <col min="24" max="24" width="5.7109375" style="206" customWidth="1"/>
    <col min="25" max="26" width="5.7109375" style="16" customWidth="1"/>
    <col min="27" max="33" width="5.7109375" style="206" customWidth="1"/>
    <col min="34" max="34" width="5.7109375" style="16" customWidth="1"/>
    <col min="35" max="50" width="5.7109375" style="206" customWidth="1"/>
  </cols>
  <sheetData>
    <row r="1" spans="1:50" ht="18.75" customHeight="1" thickBot="1">
      <c r="A1" s="1" t="s">
        <v>0</v>
      </c>
      <c r="C1" s="273" t="str">
        <f>"ARRÊT ANNUEL"&amp;" "&amp;YEAR([1]Accueil!H25)</f>
        <v>ARRÊT ANNUEL 2026</v>
      </c>
      <c r="D1" s="274"/>
      <c r="E1" s="274"/>
      <c r="F1" s="274"/>
      <c r="G1" s="274"/>
      <c r="H1" s="274"/>
      <c r="I1" s="275"/>
      <c r="J1" s="276" t="s">
        <v>1</v>
      </c>
      <c r="K1" s="278" t="s">
        <v>2</v>
      </c>
      <c r="L1" s="2" t="s">
        <v>3</v>
      </c>
      <c r="M1" s="3" t="s">
        <v>4</v>
      </c>
      <c r="N1" s="4"/>
      <c r="O1" s="269" t="s">
        <v>5</v>
      </c>
      <c r="P1" s="269"/>
      <c r="Q1" s="269"/>
      <c r="R1" s="5" t="s">
        <v>6</v>
      </c>
      <c r="U1" s="260" t="str">
        <f>"Semaine du " &amp; TEXT($C$3-WEEKDAY(U10,2)+1,"jj mmmm aaaa")&amp; " au " &amp; TEXT($C$3-WEEKDAY(U10,2)+5,"jj mmmm aaaa")</f>
        <v>Semaine du 26 mars 2026 au 30 mars 2026</v>
      </c>
      <c r="V1" s="260" t="str">
        <f t="shared" ref="V1:AX1" si="0">"Semaine du " &amp; TEXT($C$3-WEEKDAY(V10,2)+1,"jj mmmm aaaa")&amp; " au " &amp; TEXT($C$3-WEEKDAY(V10,2)+5,"jj mmmm aaaa")</f>
        <v>Semaine du 27 mars 2026 au 31 mars 2026</v>
      </c>
      <c r="W1" s="260" t="str">
        <f t="shared" si="0"/>
        <v>Semaine du 28 mars 2026 au 01 avril 2026</v>
      </c>
      <c r="X1" s="260" t="str">
        <f t="shared" si="0"/>
        <v>Semaine du 29 mars 2026 au 02 avril 2026</v>
      </c>
      <c r="Y1" s="260" t="str">
        <f t="shared" si="0"/>
        <v>Semaine du 30 mars 2026 au 03 avril 2026</v>
      </c>
      <c r="Z1" s="260" t="str">
        <f t="shared" si="0"/>
        <v>Semaine du 31 mars 2026 au 04 avril 2026</v>
      </c>
      <c r="AA1" s="260" t="str">
        <f t="shared" si="0"/>
        <v>Semaine du 01 avril 2026 au 05 avril 2026</v>
      </c>
      <c r="AB1" s="260" t="str">
        <f t="shared" si="0"/>
        <v>Semaine du 26 mars 2026 au 30 mars 2026</v>
      </c>
      <c r="AC1" s="260" t="str">
        <f t="shared" si="0"/>
        <v>Semaine du 27 mars 2026 au 31 mars 2026</v>
      </c>
      <c r="AD1" s="260" t="str">
        <f t="shared" si="0"/>
        <v>Semaine du 28 mars 2026 au 01 avril 2026</v>
      </c>
      <c r="AE1" s="260" t="str">
        <f t="shared" si="0"/>
        <v>Semaine du 29 mars 2026 au 02 avril 2026</v>
      </c>
      <c r="AF1" s="260" t="str">
        <f t="shared" si="0"/>
        <v>Semaine du 30 mars 2026 au 03 avril 2026</v>
      </c>
      <c r="AG1" s="260" t="str">
        <f t="shared" si="0"/>
        <v>Semaine du 31 mars 2026 au 04 avril 2026</v>
      </c>
      <c r="AH1" s="260" t="str">
        <f t="shared" si="0"/>
        <v>Semaine du 01 avril 2026 au 05 avril 2026</v>
      </c>
      <c r="AI1" s="260" t="str">
        <f t="shared" si="0"/>
        <v>Semaine du 26 mars 2026 au 30 mars 2026</v>
      </c>
      <c r="AJ1" s="260" t="str">
        <f t="shared" si="0"/>
        <v>Semaine du 27 mars 2026 au 31 mars 2026</v>
      </c>
      <c r="AK1" s="260" t="str">
        <f t="shared" si="0"/>
        <v>Semaine du 28 mars 2026 au 01 avril 2026</v>
      </c>
      <c r="AL1" s="260" t="str">
        <f t="shared" si="0"/>
        <v>Semaine du 29 mars 2026 au 02 avril 2026</v>
      </c>
      <c r="AM1" s="260" t="str">
        <f t="shared" si="0"/>
        <v>Semaine du 30 mars 2026 au 03 avril 2026</v>
      </c>
      <c r="AN1" s="260" t="str">
        <f t="shared" si="0"/>
        <v>Semaine du 31 mars 2026 au 04 avril 2026</v>
      </c>
      <c r="AO1" s="260" t="str">
        <f t="shared" si="0"/>
        <v>Semaine du 01 avril 2026 au 05 avril 2026</v>
      </c>
      <c r="AP1" s="260" t="str">
        <f t="shared" si="0"/>
        <v>Semaine du 26 mars 2026 au 30 mars 2026</v>
      </c>
      <c r="AQ1" s="260" t="str">
        <f t="shared" si="0"/>
        <v>Semaine du 27 mars 2026 au 31 mars 2026</v>
      </c>
      <c r="AR1" s="260" t="str">
        <f t="shared" si="0"/>
        <v>Semaine du 28 mars 2026 au 01 avril 2026</v>
      </c>
      <c r="AS1" s="260" t="str">
        <f t="shared" si="0"/>
        <v>Semaine du 29 mars 2026 au 02 avril 2026</v>
      </c>
      <c r="AT1" s="260" t="str">
        <f t="shared" si="0"/>
        <v>Semaine du 30 mars 2026 au 03 avril 2026</v>
      </c>
      <c r="AU1" s="260" t="str">
        <f t="shared" si="0"/>
        <v>Semaine du 31 mars 2026 au 04 avril 2026</v>
      </c>
      <c r="AV1" s="260" t="str">
        <f t="shared" si="0"/>
        <v>Semaine du 01 avril 2026 au 05 avril 2026</v>
      </c>
      <c r="AW1" s="260" t="str">
        <f t="shared" si="0"/>
        <v>Semaine du 26 mars 2026 au 30 mars 2026</v>
      </c>
      <c r="AX1" s="260" t="str">
        <f t="shared" si="0"/>
        <v>Semaine du 27 mars 2026 au 31 mars 2026</v>
      </c>
    </row>
    <row r="2" spans="1:50" ht="18">
      <c r="C2" s="262" t="s">
        <v>7</v>
      </c>
      <c r="D2" s="263"/>
      <c r="E2" s="264"/>
      <c r="F2" s="265" t="s">
        <v>8</v>
      </c>
      <c r="G2" s="267">
        <v>14</v>
      </c>
      <c r="H2" s="262" t="s">
        <v>9</v>
      </c>
      <c r="I2" s="264"/>
      <c r="J2" s="277"/>
      <c r="K2" s="279"/>
      <c r="L2" s="2" t="s">
        <v>10</v>
      </c>
      <c r="M2" s="3" t="s">
        <v>11</v>
      </c>
      <c r="N2" s="4"/>
      <c r="O2" s="269" t="s">
        <v>12</v>
      </c>
      <c r="P2" s="269"/>
      <c r="Q2" s="269"/>
      <c r="R2" s="5" t="s">
        <v>12</v>
      </c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</row>
    <row r="3" spans="1:50" ht="18.75" thickBot="1">
      <c r="C3" s="270">
        <f>[1]Accueil!H25</f>
        <v>46113</v>
      </c>
      <c r="D3" s="271"/>
      <c r="E3" s="272"/>
      <c r="F3" s="266"/>
      <c r="G3" s="268"/>
      <c r="H3" s="270">
        <f>C3+G2</f>
        <v>46127</v>
      </c>
      <c r="I3" s="272"/>
      <c r="J3" s="277"/>
      <c r="K3" s="279"/>
      <c r="L3" s="2" t="s">
        <v>13</v>
      </c>
      <c r="M3" s="3" t="s">
        <v>14</v>
      </c>
      <c r="N3" s="4"/>
      <c r="O3" s="280" t="s">
        <v>15</v>
      </c>
      <c r="P3" s="280"/>
      <c r="Q3" s="280"/>
      <c r="R3" s="5" t="s">
        <v>16</v>
      </c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</row>
    <row r="4" spans="1:50" ht="18">
      <c r="C4" s="281" t="s">
        <v>17</v>
      </c>
      <c r="D4" s="8" cm="1">
        <f t="array" ref="D4:D7">_xlfn._xlws.FILTER(_xlfn.SEQUENCE(H3-C3+1,1,C3,1),(WEEKDAY(_xlfn.SEQUENCE(H3-C3+1,1,C3,1),2)=6)+(WEEKDAY(_xlfn.SEQUENCE(H3-C3+1,1,C3,1),2)=7))</f>
        <v>46116</v>
      </c>
      <c r="E4" s="11">
        <f>D4</f>
        <v>46116</v>
      </c>
      <c r="F4" s="12" t="s">
        <v>18</v>
      </c>
      <c r="G4" s="13">
        <v>45753</v>
      </c>
      <c r="H4" s="284" t="s">
        <v>19</v>
      </c>
      <c r="I4" s="285"/>
      <c r="J4" s="277"/>
      <c r="K4" s="279"/>
      <c r="L4" s="14" t="s">
        <v>20</v>
      </c>
      <c r="M4" s="3" t="s">
        <v>21</v>
      </c>
      <c r="N4" s="4"/>
      <c r="O4" s="251"/>
      <c r="P4" s="251"/>
      <c r="Q4" s="25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</row>
    <row r="5" spans="1:50" ht="18">
      <c r="C5" s="282"/>
      <c r="D5" s="9">
        <v>46117</v>
      </c>
      <c r="E5" s="15">
        <f>D5</f>
        <v>46117</v>
      </c>
      <c r="G5" s="13"/>
      <c r="H5" s="258"/>
      <c r="I5" s="259"/>
      <c r="J5" s="277"/>
      <c r="K5" s="279"/>
      <c r="L5" s="2" t="s">
        <v>22</v>
      </c>
      <c r="M5" s="3" t="s">
        <v>23</v>
      </c>
      <c r="N5" s="4"/>
      <c r="O5" s="251"/>
      <c r="P5" s="251"/>
      <c r="Q5" s="251"/>
      <c r="R5" s="4"/>
      <c r="S5" s="17"/>
      <c r="T5" s="17"/>
      <c r="U5" s="261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1"/>
      <c r="AT5" s="261"/>
      <c r="AU5" s="261"/>
      <c r="AV5" s="261"/>
      <c r="AW5" s="261"/>
      <c r="AX5" s="261"/>
    </row>
    <row r="6" spans="1:50" ht="18">
      <c r="C6" s="282"/>
      <c r="D6" s="9">
        <v>46123</v>
      </c>
      <c r="E6" s="18">
        <f>D6</f>
        <v>46123</v>
      </c>
      <c r="F6" s="19"/>
      <c r="H6" s="258"/>
      <c r="I6" s="259"/>
      <c r="J6" s="277"/>
      <c r="K6" s="279"/>
      <c r="L6" s="20" t="s">
        <v>24</v>
      </c>
      <c r="M6" s="3" t="s">
        <v>25</v>
      </c>
      <c r="N6" s="4"/>
      <c r="O6" s="251"/>
      <c r="P6" s="251"/>
      <c r="Q6" s="251"/>
      <c r="R6" s="4"/>
      <c r="S6" s="17"/>
      <c r="T6" s="17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</row>
    <row r="7" spans="1:50" ht="18.75" thickBot="1">
      <c r="C7" s="283"/>
      <c r="D7" s="10">
        <v>46124</v>
      </c>
      <c r="E7" s="21">
        <f>D7</f>
        <v>46124</v>
      </c>
      <c r="F7" s="22"/>
      <c r="G7" s="23"/>
      <c r="H7" s="23"/>
      <c r="I7" s="24"/>
      <c r="J7" s="277"/>
      <c r="K7" s="279"/>
      <c r="L7" s="2" t="s">
        <v>26</v>
      </c>
      <c r="M7" s="3" t="s">
        <v>27</v>
      </c>
      <c r="N7" s="4"/>
      <c r="O7" s="251"/>
      <c r="P7" s="251"/>
      <c r="Q7" s="251"/>
      <c r="R7" s="4"/>
      <c r="S7" s="17"/>
      <c r="T7" s="17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</row>
    <row r="8" spans="1:50" ht="18.75" thickBot="1">
      <c r="C8" s="248" t="s">
        <v>28</v>
      </c>
      <c r="D8" s="249"/>
      <c r="E8" s="250"/>
      <c r="F8" s="25" t="s">
        <v>29</v>
      </c>
      <c r="G8" s="26">
        <f ca="1">TODAY()</f>
        <v>45953</v>
      </c>
      <c r="H8" s="27" t="s">
        <v>30</v>
      </c>
      <c r="I8" s="28" cm="1">
        <f t="array" aca="1" ref="I8" ca="1">SUMPRODUCT((WEEKDAY(_xlfn.SEQUENCE(C3-G8+1,1,G8,1),2)=4)*1)</f>
        <v>23</v>
      </c>
      <c r="J8" s="277"/>
      <c r="K8" s="279"/>
      <c r="L8" s="29" t="s">
        <v>31</v>
      </c>
      <c r="M8" s="3" t="s">
        <v>32</v>
      </c>
      <c r="N8" s="4"/>
      <c r="O8" s="251"/>
      <c r="P8" s="251"/>
      <c r="Q8" s="251"/>
      <c r="R8" s="4"/>
      <c r="S8" s="17"/>
      <c r="T8" s="17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</row>
    <row r="9" spans="1:50" ht="18.75" thickBot="1">
      <c r="C9" s="30">
        <f>AVERAGE(J11,J20,J35,J44,J64,J75,J90,J99,J115,J119,J136,J161,J174,J188,J205,J51)</f>
        <v>0</v>
      </c>
      <c r="D9" s="31" t="s">
        <v>33</v>
      </c>
      <c r="E9" s="32">
        <f ca="1">AVERAGE(K11,K20,K35,K44,K64,K75,K90,K99,K115,K119,K136,K161,K174,K188,K205)</f>
        <v>0.13342000000000018</v>
      </c>
      <c r="F9" s="25" t="s">
        <v>34</v>
      </c>
      <c r="G9" s="33">
        <f ca="1">(-(C3-G8)/7)</f>
        <v>-22.857142857142858</v>
      </c>
      <c r="H9" s="34" t="s">
        <v>35</v>
      </c>
      <c r="I9" s="35">
        <f ca="1">G8-C3</f>
        <v>-160</v>
      </c>
      <c r="J9" s="277"/>
      <c r="K9" s="279"/>
      <c r="L9" s="36" t="s">
        <v>36</v>
      </c>
      <c r="M9" s="3" t="s">
        <v>37</v>
      </c>
      <c r="N9" s="4"/>
      <c r="O9" s="251"/>
      <c r="P9" s="251"/>
      <c r="Q9" s="251"/>
      <c r="R9" s="4"/>
      <c r="S9" s="17"/>
      <c r="T9" s="17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</row>
    <row r="10" spans="1:50" ht="15.75" thickBot="1">
      <c r="A10" s="7" t="s">
        <v>38</v>
      </c>
      <c r="C10" s="37"/>
      <c r="S10" s="6" t="s">
        <v>39</v>
      </c>
      <c r="U10" s="39">
        <v>29</v>
      </c>
      <c r="V10" s="39">
        <v>28</v>
      </c>
      <c r="W10" s="39">
        <v>27</v>
      </c>
      <c r="X10" s="39">
        <v>26</v>
      </c>
      <c r="Y10" s="39">
        <v>25</v>
      </c>
      <c r="Z10" s="39">
        <v>24</v>
      </c>
      <c r="AA10" s="39">
        <v>23</v>
      </c>
      <c r="AB10" s="39">
        <v>22</v>
      </c>
      <c r="AC10" s="39">
        <v>21</v>
      </c>
      <c r="AD10" s="39">
        <v>20</v>
      </c>
      <c r="AE10" s="39">
        <v>19</v>
      </c>
      <c r="AF10" s="39">
        <v>18</v>
      </c>
      <c r="AG10" s="39">
        <v>17</v>
      </c>
      <c r="AH10" s="39">
        <v>16</v>
      </c>
      <c r="AI10" s="39">
        <v>15</v>
      </c>
      <c r="AJ10" s="39">
        <v>14</v>
      </c>
      <c r="AK10" s="39">
        <v>13</v>
      </c>
      <c r="AL10" s="39">
        <v>12</v>
      </c>
      <c r="AM10" s="39">
        <v>11</v>
      </c>
      <c r="AN10" s="39">
        <v>10</v>
      </c>
      <c r="AO10" s="39">
        <v>9</v>
      </c>
      <c r="AP10" s="39">
        <v>8</v>
      </c>
      <c r="AQ10" s="39">
        <v>7</v>
      </c>
      <c r="AR10" s="39">
        <v>6</v>
      </c>
      <c r="AS10" s="39">
        <v>5</v>
      </c>
      <c r="AT10" s="39">
        <v>4</v>
      </c>
      <c r="AU10" s="39">
        <v>3</v>
      </c>
      <c r="AV10" s="39">
        <v>2</v>
      </c>
      <c r="AW10" s="39">
        <v>1</v>
      </c>
      <c r="AX10" s="39">
        <v>0</v>
      </c>
    </row>
    <row r="11" spans="1:50" ht="15.75" customHeight="1">
      <c r="C11" s="220">
        <f>$C$3+(D11*7)</f>
        <v>45931</v>
      </c>
      <c r="D11" s="222">
        <v>-26</v>
      </c>
      <c r="E11" s="224" t="s">
        <v>40</v>
      </c>
      <c r="F11" s="224"/>
      <c r="G11" s="224"/>
      <c r="H11" s="224"/>
      <c r="I11" s="225"/>
      <c r="J11" s="213">
        <f>SUM(J13:J19)/COUNTA(C13:I19)</f>
        <v>0</v>
      </c>
      <c r="K11" s="213">
        <f ca="1">AVERAGE(K13:K19)</f>
        <v>1</v>
      </c>
      <c r="L11" s="40" t="s">
        <v>41</v>
      </c>
      <c r="M11" s="252" t="s">
        <v>42</v>
      </c>
      <c r="N11" s="253"/>
      <c r="O11" s="253"/>
      <c r="P11" s="253"/>
      <c r="Q11" s="253"/>
      <c r="R11" s="254"/>
      <c r="S11" s="244" t="s">
        <v>43</v>
      </c>
      <c r="T11" s="246" t="s">
        <v>44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</row>
    <row r="12" spans="1:50" ht="16.5" customHeight="1" thickBot="1">
      <c r="C12" s="221"/>
      <c r="D12" s="223"/>
      <c r="E12" s="226" t="s">
        <v>45</v>
      </c>
      <c r="F12" s="226"/>
      <c r="G12" s="226"/>
      <c r="H12" s="226"/>
      <c r="I12" s="227"/>
      <c r="J12" s="214"/>
      <c r="K12" s="214"/>
      <c r="L12" s="42"/>
      <c r="M12" s="255"/>
      <c r="N12" s="256"/>
      <c r="O12" s="256"/>
      <c r="P12" s="256"/>
      <c r="Q12" s="256"/>
      <c r="R12" s="257"/>
      <c r="S12" s="245"/>
      <c r="T12" s="247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</row>
    <row r="13" spans="1:50">
      <c r="C13" s="217" t="s">
        <v>46</v>
      </c>
      <c r="D13" s="218"/>
      <c r="E13" s="218"/>
      <c r="F13" s="218"/>
      <c r="G13" s="218"/>
      <c r="H13" s="218"/>
      <c r="I13" s="219"/>
      <c r="J13" s="44"/>
      <c r="K13" s="45">
        <f ca="1">IF($C$11-$G$8&lt;0%,100%,0.01%)</f>
        <v>1</v>
      </c>
      <c r="L13" s="46" t="s">
        <v>47</v>
      </c>
      <c r="M13" s="47" t="s">
        <v>4</v>
      </c>
      <c r="N13" s="48"/>
      <c r="O13" s="48"/>
      <c r="P13" s="48"/>
      <c r="Q13" s="48"/>
      <c r="R13" s="49"/>
      <c r="S13" s="50">
        <v>1</v>
      </c>
      <c r="T13" s="51">
        <f>$C$11+S13</f>
        <v>45932</v>
      </c>
      <c r="U13" s="52"/>
      <c r="V13" s="53"/>
      <c r="W13" s="53"/>
      <c r="X13" s="54"/>
      <c r="Y13" s="53"/>
      <c r="Z13" s="53"/>
      <c r="AA13" s="53"/>
      <c r="AB13" s="54"/>
      <c r="AC13" s="54"/>
      <c r="AD13" s="53"/>
      <c r="AE13" s="53"/>
      <c r="AF13" s="54"/>
      <c r="AG13" s="54"/>
      <c r="AH13" s="53"/>
      <c r="AI13" s="53"/>
      <c r="AJ13" s="53"/>
      <c r="AK13" s="53"/>
      <c r="AL13" s="53"/>
      <c r="AM13" s="53"/>
      <c r="AN13" s="53"/>
      <c r="AO13" s="54"/>
      <c r="AP13" s="53"/>
      <c r="AQ13" s="54"/>
      <c r="AR13" s="54"/>
      <c r="AS13" s="53"/>
      <c r="AT13" s="53"/>
      <c r="AU13" s="53"/>
      <c r="AV13" s="54"/>
      <c r="AW13" s="53"/>
      <c r="AX13" s="53"/>
    </row>
    <row r="14" spans="1:50">
      <c r="C14" s="207" t="s">
        <v>48</v>
      </c>
      <c r="D14" s="208"/>
      <c r="E14" s="208"/>
      <c r="F14" s="208"/>
      <c r="G14" s="208"/>
      <c r="H14" s="208"/>
      <c r="I14" s="209"/>
      <c r="J14" s="44"/>
      <c r="K14" s="45">
        <f t="shared" ref="K14:K19" ca="1" si="1">IF($C$11-$G$8&lt;0%,100%,0.01%)</f>
        <v>1</v>
      </c>
      <c r="L14" s="55"/>
      <c r="M14" s="56" t="s">
        <v>4</v>
      </c>
      <c r="N14" s="57"/>
      <c r="O14" s="57"/>
      <c r="P14" s="57"/>
      <c r="Q14" s="57"/>
      <c r="R14" s="58"/>
      <c r="S14" s="59">
        <v>15</v>
      </c>
      <c r="T14" s="51">
        <f t="shared" ref="T14:T19" si="2">$C$11+S14</f>
        <v>45946</v>
      </c>
      <c r="U14" s="52"/>
      <c r="V14" s="53"/>
      <c r="W14" s="53"/>
      <c r="X14" s="53"/>
      <c r="Y14" s="53"/>
      <c r="Z14" s="53"/>
      <c r="AA14" s="53"/>
      <c r="AB14" s="53"/>
      <c r="AC14" s="53"/>
      <c r="AD14" s="60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</row>
    <row r="15" spans="1:50">
      <c r="C15" s="207" t="s">
        <v>49</v>
      </c>
      <c r="D15" s="208"/>
      <c r="E15" s="208"/>
      <c r="F15" s="208"/>
      <c r="G15" s="208"/>
      <c r="H15" s="208"/>
      <c r="I15" s="209"/>
      <c r="J15" s="44"/>
      <c r="K15" s="45">
        <f t="shared" ca="1" si="1"/>
        <v>1</v>
      </c>
      <c r="L15" s="55"/>
      <c r="M15" s="56" t="s">
        <v>4</v>
      </c>
      <c r="N15" s="57"/>
      <c r="O15" s="57"/>
      <c r="P15" s="57"/>
      <c r="Q15" s="57"/>
      <c r="R15" s="58"/>
      <c r="S15" s="59">
        <v>15</v>
      </c>
      <c r="T15" s="51">
        <f t="shared" si="2"/>
        <v>45946</v>
      </c>
      <c r="U15" s="52"/>
      <c r="V15" s="53"/>
      <c r="W15" s="53"/>
      <c r="X15" s="53"/>
      <c r="Y15" s="54"/>
      <c r="Z15" s="54"/>
      <c r="AA15" s="53"/>
      <c r="AB15" s="53"/>
      <c r="AC15" s="54"/>
      <c r="AD15" s="54"/>
      <c r="AE15" s="54"/>
      <c r="AF15" s="54"/>
      <c r="AG15" s="54"/>
      <c r="AH15" s="53"/>
      <c r="AI15" s="53"/>
      <c r="AJ15" s="54"/>
      <c r="AK15" s="54"/>
      <c r="AL15" s="54"/>
      <c r="AM15" s="54"/>
      <c r="AN15" s="53"/>
      <c r="AO15" s="54"/>
      <c r="AP15" s="53"/>
      <c r="AQ15" s="54"/>
      <c r="AR15" s="54"/>
      <c r="AS15" s="53"/>
      <c r="AT15" s="53"/>
      <c r="AU15" s="53"/>
      <c r="AV15" s="54"/>
      <c r="AW15" s="53"/>
      <c r="AX15" s="53"/>
    </row>
    <row r="16" spans="1:50">
      <c r="C16" s="207" t="s">
        <v>50</v>
      </c>
      <c r="D16" s="208"/>
      <c r="E16" s="208"/>
      <c r="F16" s="208"/>
      <c r="G16" s="208"/>
      <c r="H16" s="208"/>
      <c r="I16" s="209"/>
      <c r="J16" s="44"/>
      <c r="K16" s="45">
        <f t="shared" ca="1" si="1"/>
        <v>1</v>
      </c>
      <c r="L16" s="61"/>
      <c r="M16" s="62" t="s">
        <v>14</v>
      </c>
      <c r="N16" s="63"/>
      <c r="O16" s="63"/>
      <c r="P16" s="63"/>
      <c r="Q16" s="63"/>
      <c r="R16" s="64"/>
      <c r="S16" s="59">
        <v>1</v>
      </c>
      <c r="T16" s="51">
        <f t="shared" si="2"/>
        <v>45932</v>
      </c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</row>
    <row r="17" spans="3:50">
      <c r="C17" s="207" t="s">
        <v>51</v>
      </c>
      <c r="D17" s="208"/>
      <c r="E17" s="208"/>
      <c r="F17" s="208"/>
      <c r="G17" s="208"/>
      <c r="H17" s="208"/>
      <c r="I17" s="209"/>
      <c r="J17" s="44"/>
      <c r="K17" s="45">
        <f t="shared" ca="1" si="1"/>
        <v>1</v>
      </c>
      <c r="L17" s="61"/>
      <c r="M17" s="62" t="s">
        <v>4</v>
      </c>
      <c r="N17" s="63"/>
      <c r="O17" s="63"/>
      <c r="P17" s="63"/>
      <c r="Q17" s="63"/>
      <c r="R17" s="64"/>
      <c r="S17" s="59">
        <v>1</v>
      </c>
      <c r="T17" s="51">
        <f t="shared" si="2"/>
        <v>45932</v>
      </c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</row>
    <row r="18" spans="3:50">
      <c r="C18" s="207" t="s">
        <v>52</v>
      </c>
      <c r="D18" s="208"/>
      <c r="E18" s="208"/>
      <c r="F18" s="208"/>
      <c r="G18" s="208"/>
      <c r="H18" s="208"/>
      <c r="I18" s="209"/>
      <c r="J18" s="44"/>
      <c r="K18" s="45">
        <f t="shared" ca="1" si="1"/>
        <v>1</v>
      </c>
      <c r="L18" s="61"/>
      <c r="M18" s="62" t="s">
        <v>14</v>
      </c>
      <c r="N18" s="63" t="s">
        <v>11</v>
      </c>
      <c r="O18" s="63"/>
      <c r="P18" s="63"/>
      <c r="Q18" s="63"/>
      <c r="R18" s="64"/>
      <c r="S18" s="59">
        <v>1</v>
      </c>
      <c r="T18" s="51">
        <f t="shared" si="2"/>
        <v>45932</v>
      </c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</row>
    <row r="19" spans="3:50" ht="15.75" thickBot="1">
      <c r="C19" s="210" t="s">
        <v>53</v>
      </c>
      <c r="D19" s="211"/>
      <c r="E19" s="211"/>
      <c r="F19" s="211"/>
      <c r="G19" s="211"/>
      <c r="H19" s="211"/>
      <c r="I19" s="212"/>
      <c r="J19" s="44"/>
      <c r="K19" s="45">
        <f t="shared" ca="1" si="1"/>
        <v>1</v>
      </c>
      <c r="L19" s="55"/>
      <c r="M19" s="56" t="s">
        <v>14</v>
      </c>
      <c r="N19" s="57" t="s">
        <v>11</v>
      </c>
      <c r="O19" s="57"/>
      <c r="P19" s="57"/>
      <c r="Q19" s="57"/>
      <c r="R19" s="58"/>
      <c r="S19" s="59">
        <v>7</v>
      </c>
      <c r="T19" s="51">
        <f t="shared" si="2"/>
        <v>45938</v>
      </c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</row>
    <row r="20" spans="3:50" ht="15.75">
      <c r="C20" s="220">
        <f>$C$3+(D20*7)</f>
        <v>45945</v>
      </c>
      <c r="D20" s="222">
        <v>-24</v>
      </c>
      <c r="E20" s="224" t="s">
        <v>40</v>
      </c>
      <c r="F20" s="224"/>
      <c r="G20" s="224"/>
      <c r="H20" s="224"/>
      <c r="I20" s="225"/>
      <c r="J20" s="213">
        <f>SUM(J22:J34)/COUNTA(C22:I34)</f>
        <v>0</v>
      </c>
      <c r="K20" s="213">
        <f ca="1">AVERAGE(K22:K34)</f>
        <v>1</v>
      </c>
      <c r="L20" s="65"/>
      <c r="M20" s="66"/>
      <c r="N20" s="67"/>
      <c r="O20" s="67"/>
      <c r="P20" s="67"/>
      <c r="Q20" s="67"/>
      <c r="R20" s="68"/>
      <c r="S20" s="69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</row>
    <row r="21" spans="3:50" ht="16.5" thickBot="1">
      <c r="C21" s="221"/>
      <c r="D21" s="223"/>
      <c r="E21" s="226" t="s">
        <v>54</v>
      </c>
      <c r="F21" s="226"/>
      <c r="G21" s="226"/>
      <c r="H21" s="226"/>
      <c r="I21" s="227"/>
      <c r="J21" s="214"/>
      <c r="K21" s="214"/>
      <c r="L21" s="65"/>
      <c r="M21" s="66"/>
      <c r="N21" s="67"/>
      <c r="O21" s="67"/>
      <c r="P21" s="67"/>
      <c r="Q21" s="67"/>
      <c r="R21" s="68"/>
      <c r="S21" s="69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</row>
    <row r="22" spans="3:50">
      <c r="C22" s="241" t="s">
        <v>55</v>
      </c>
      <c r="D22" s="242"/>
      <c r="E22" s="242"/>
      <c r="F22" s="242"/>
      <c r="G22" s="242"/>
      <c r="H22" s="242"/>
      <c r="I22" s="243"/>
      <c r="J22" s="72"/>
      <c r="K22" s="73">
        <f ca="1">IF($C$20-$G$8&lt;0%,100%,0.01%)</f>
        <v>1</v>
      </c>
      <c r="L22" s="74"/>
      <c r="M22" s="75" t="s">
        <v>4</v>
      </c>
      <c r="N22" s="76"/>
      <c r="O22" s="76"/>
      <c r="P22" s="76"/>
      <c r="Q22" s="76"/>
      <c r="R22" s="77"/>
      <c r="S22" s="78">
        <v>7</v>
      </c>
      <c r="T22" s="51">
        <f>$C$20+S22</f>
        <v>45952</v>
      </c>
      <c r="U22" s="79"/>
      <c r="V22" s="80"/>
      <c r="W22" s="80"/>
      <c r="X22" s="81"/>
      <c r="Y22" s="80"/>
      <c r="Z22" s="80"/>
      <c r="AA22" s="81"/>
      <c r="AB22" s="81"/>
      <c r="AC22" s="81"/>
      <c r="AD22" s="81"/>
      <c r="AE22" s="81"/>
      <c r="AF22" s="81"/>
      <c r="AG22" s="81"/>
      <c r="AH22" s="80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</row>
    <row r="23" spans="3:50">
      <c r="C23" s="207" t="s">
        <v>56</v>
      </c>
      <c r="D23" s="208"/>
      <c r="E23" s="208"/>
      <c r="F23" s="208"/>
      <c r="G23" s="208"/>
      <c r="H23" s="208"/>
      <c r="I23" s="209"/>
      <c r="J23" s="44"/>
      <c r="K23" s="45">
        <f ca="1">IF($C$20-$G$8&lt;0%,100%,0.01%)</f>
        <v>1</v>
      </c>
      <c r="L23" s="55"/>
      <c r="M23" s="82" t="s">
        <v>4</v>
      </c>
      <c r="N23" s="83"/>
      <c r="O23" s="83"/>
      <c r="P23" s="83"/>
      <c r="Q23" s="83"/>
      <c r="R23" s="58"/>
      <c r="S23" s="59">
        <v>1</v>
      </c>
      <c r="T23" s="51">
        <f t="shared" ref="T23:T25" si="3">$C$20+S23</f>
        <v>45946</v>
      </c>
      <c r="U23" s="84"/>
      <c r="V23" s="85"/>
      <c r="W23" s="85"/>
      <c r="X23" s="53"/>
      <c r="Y23" s="85"/>
      <c r="Z23" s="85"/>
      <c r="AA23" s="53"/>
      <c r="AB23" s="53"/>
      <c r="AC23" s="53"/>
      <c r="AD23" s="53"/>
      <c r="AE23" s="53"/>
      <c r="AF23" s="53"/>
      <c r="AG23" s="53"/>
      <c r="AH23" s="85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</row>
    <row r="24" spans="3:50">
      <c r="C24" s="207" t="s">
        <v>57</v>
      </c>
      <c r="D24" s="208"/>
      <c r="E24" s="208"/>
      <c r="F24" s="208"/>
      <c r="G24" s="208"/>
      <c r="H24" s="208"/>
      <c r="I24" s="209"/>
      <c r="J24" s="44"/>
      <c r="K24" s="45">
        <f t="shared" ref="K24:K33" ca="1" si="4">IF($C$20-$G$8&lt;0%,100%,0.01%)</f>
        <v>1</v>
      </c>
      <c r="L24" s="55"/>
      <c r="M24" s="82" t="s">
        <v>4</v>
      </c>
      <c r="N24" s="83"/>
      <c r="O24" s="83"/>
      <c r="P24" s="83"/>
      <c r="Q24" s="83"/>
      <c r="R24" s="58"/>
      <c r="S24" s="59">
        <f>SUM(S25:S34)</f>
        <v>20</v>
      </c>
      <c r="T24" s="51">
        <f t="shared" si="3"/>
        <v>45965</v>
      </c>
      <c r="U24" s="84"/>
      <c r="V24" s="85"/>
      <c r="W24" s="85"/>
      <c r="X24" s="53"/>
      <c r="Y24" s="85"/>
      <c r="Z24" s="85"/>
      <c r="AA24" s="53"/>
      <c r="AB24" s="53"/>
      <c r="AC24" s="53"/>
      <c r="AD24" s="53"/>
      <c r="AE24" s="53"/>
      <c r="AF24" s="53"/>
      <c r="AG24" s="53"/>
      <c r="AH24" s="85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</row>
    <row r="25" spans="3:50">
      <c r="C25" s="207" t="s">
        <v>58</v>
      </c>
      <c r="D25" s="208"/>
      <c r="E25" s="208"/>
      <c r="F25" s="208"/>
      <c r="G25" s="208"/>
      <c r="H25" s="208"/>
      <c r="I25" s="209"/>
      <c r="J25" s="44"/>
      <c r="K25" s="45">
        <f t="shared" ca="1" si="4"/>
        <v>1</v>
      </c>
      <c r="L25" s="55"/>
      <c r="M25" s="82" t="s">
        <v>4</v>
      </c>
      <c r="N25" s="83"/>
      <c r="O25" s="83"/>
      <c r="P25" s="83"/>
      <c r="Q25" s="83"/>
      <c r="R25" s="58"/>
      <c r="S25" s="59">
        <v>2</v>
      </c>
      <c r="T25" s="51">
        <f t="shared" si="3"/>
        <v>45947</v>
      </c>
      <c r="U25" s="84"/>
      <c r="V25" s="85"/>
      <c r="W25" s="85"/>
      <c r="X25" s="53"/>
      <c r="Y25" s="85"/>
      <c r="Z25" s="85"/>
      <c r="AA25" s="53"/>
      <c r="AB25" s="53"/>
      <c r="AC25" s="53"/>
      <c r="AD25" s="53"/>
      <c r="AE25" s="53"/>
      <c r="AF25" s="53"/>
      <c r="AG25" s="53"/>
      <c r="AH25" s="85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</row>
    <row r="26" spans="3:50">
      <c r="C26" s="207" t="s">
        <v>59</v>
      </c>
      <c r="D26" s="208"/>
      <c r="E26" s="208"/>
      <c r="F26" s="208"/>
      <c r="G26" s="208"/>
      <c r="H26" s="208"/>
      <c r="I26" s="209"/>
      <c r="J26" s="44"/>
      <c r="K26" s="45">
        <f t="shared" ca="1" si="4"/>
        <v>1</v>
      </c>
      <c r="L26" s="55"/>
      <c r="M26" s="82" t="s">
        <v>4</v>
      </c>
      <c r="N26" s="83"/>
      <c r="O26" s="83"/>
      <c r="P26" s="83"/>
      <c r="Q26" s="83"/>
      <c r="R26" s="58"/>
      <c r="S26" s="59">
        <v>2</v>
      </c>
      <c r="T26" s="51">
        <f>T25+S26</f>
        <v>45949</v>
      </c>
      <c r="U26" s="84"/>
      <c r="V26" s="85"/>
      <c r="W26" s="85"/>
      <c r="X26" s="53"/>
      <c r="Y26" s="85"/>
      <c r="Z26" s="85"/>
      <c r="AA26" s="53"/>
      <c r="AB26" s="53"/>
      <c r="AC26" s="53"/>
      <c r="AD26" s="53"/>
      <c r="AE26" s="53"/>
      <c r="AF26" s="53"/>
      <c r="AG26" s="53"/>
      <c r="AH26" s="85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spans="3:50">
      <c r="C27" s="207" t="s">
        <v>60</v>
      </c>
      <c r="D27" s="208"/>
      <c r="E27" s="208"/>
      <c r="F27" s="208"/>
      <c r="G27" s="208"/>
      <c r="H27" s="208"/>
      <c r="I27" s="209"/>
      <c r="J27" s="44"/>
      <c r="K27" s="45">
        <f t="shared" ca="1" si="4"/>
        <v>1</v>
      </c>
      <c r="L27" s="55"/>
      <c r="M27" s="82" t="s">
        <v>4</v>
      </c>
      <c r="N27" s="83"/>
      <c r="O27" s="83"/>
      <c r="P27" s="83"/>
      <c r="Q27" s="83"/>
      <c r="R27" s="58"/>
      <c r="S27" s="59">
        <v>2</v>
      </c>
      <c r="T27" s="51">
        <f t="shared" ref="T27:T34" si="5">T26+S27</f>
        <v>45951</v>
      </c>
      <c r="U27" s="84"/>
      <c r="V27" s="85"/>
      <c r="W27" s="85"/>
      <c r="X27" s="53"/>
      <c r="Y27" s="85"/>
      <c r="Z27" s="85"/>
      <c r="AA27" s="53"/>
      <c r="AB27" s="53"/>
      <c r="AC27" s="53"/>
      <c r="AD27" s="53"/>
      <c r="AE27" s="53"/>
      <c r="AF27" s="53"/>
      <c r="AG27" s="53"/>
      <c r="AH27" s="85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</row>
    <row r="28" spans="3:50">
      <c r="C28" s="207" t="s">
        <v>61</v>
      </c>
      <c r="D28" s="208"/>
      <c r="E28" s="208"/>
      <c r="F28" s="208"/>
      <c r="G28" s="208"/>
      <c r="H28" s="208"/>
      <c r="I28" s="209"/>
      <c r="J28" s="44"/>
      <c r="K28" s="45">
        <f t="shared" ca="1" si="4"/>
        <v>1</v>
      </c>
      <c r="L28" s="55"/>
      <c r="M28" s="82" t="s">
        <v>4</v>
      </c>
      <c r="N28" s="83"/>
      <c r="O28" s="83"/>
      <c r="P28" s="83"/>
      <c r="Q28" s="83"/>
      <c r="R28" s="58"/>
      <c r="S28" s="59">
        <v>2</v>
      </c>
      <c r="T28" s="51">
        <f t="shared" si="5"/>
        <v>45953</v>
      </c>
      <c r="U28" s="84"/>
      <c r="V28" s="85"/>
      <c r="W28" s="85"/>
      <c r="X28" s="53"/>
      <c r="Y28" s="85"/>
      <c r="Z28" s="85"/>
      <c r="AA28" s="53"/>
      <c r="AB28" s="53"/>
      <c r="AC28" s="53"/>
      <c r="AD28" s="53"/>
      <c r="AE28" s="53"/>
      <c r="AF28" s="53"/>
      <c r="AG28" s="53"/>
      <c r="AH28" s="85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spans="3:50">
      <c r="C29" s="207" t="s">
        <v>62</v>
      </c>
      <c r="D29" s="208"/>
      <c r="E29" s="208"/>
      <c r="F29" s="208"/>
      <c r="G29" s="208"/>
      <c r="H29" s="208"/>
      <c r="I29" s="209"/>
      <c r="J29" s="44"/>
      <c r="K29" s="45">
        <f t="shared" ca="1" si="4"/>
        <v>1</v>
      </c>
      <c r="L29" s="55"/>
      <c r="M29" s="82" t="s">
        <v>4</v>
      </c>
      <c r="N29" s="83"/>
      <c r="O29" s="83"/>
      <c r="P29" s="83"/>
      <c r="Q29" s="83"/>
      <c r="R29" s="58"/>
      <c r="S29" s="59">
        <v>2</v>
      </c>
      <c r="T29" s="51">
        <f t="shared" si="5"/>
        <v>45955</v>
      </c>
      <c r="U29" s="84"/>
      <c r="V29" s="85"/>
      <c r="W29" s="85"/>
      <c r="X29" s="53"/>
      <c r="Y29" s="85"/>
      <c r="Z29" s="85"/>
      <c r="AA29" s="53"/>
      <c r="AB29" s="53"/>
      <c r="AC29" s="53"/>
      <c r="AD29" s="53"/>
      <c r="AE29" s="53"/>
      <c r="AF29" s="53"/>
      <c r="AG29" s="53"/>
      <c r="AH29" s="85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</row>
    <row r="30" spans="3:50">
      <c r="C30" s="207" t="s">
        <v>63</v>
      </c>
      <c r="D30" s="208"/>
      <c r="E30" s="208"/>
      <c r="F30" s="208"/>
      <c r="G30" s="208"/>
      <c r="H30" s="208"/>
      <c r="I30" s="209"/>
      <c r="J30" s="44"/>
      <c r="K30" s="45">
        <f t="shared" ca="1" si="4"/>
        <v>1</v>
      </c>
      <c r="L30" s="55"/>
      <c r="M30" s="82" t="s">
        <v>4</v>
      </c>
      <c r="N30" s="83"/>
      <c r="O30" s="83"/>
      <c r="P30" s="83"/>
      <c r="Q30" s="83"/>
      <c r="R30" s="58"/>
      <c r="S30" s="59">
        <v>2</v>
      </c>
      <c r="T30" s="51">
        <f t="shared" si="5"/>
        <v>45957</v>
      </c>
      <c r="U30" s="84"/>
      <c r="V30" s="85"/>
      <c r="W30" s="85"/>
      <c r="X30" s="53"/>
      <c r="Y30" s="85"/>
      <c r="Z30" s="85"/>
      <c r="AA30" s="53"/>
      <c r="AB30" s="53"/>
      <c r="AC30" s="53"/>
      <c r="AD30" s="53"/>
      <c r="AE30" s="53"/>
      <c r="AF30" s="53"/>
      <c r="AG30" s="53"/>
      <c r="AH30" s="85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</row>
    <row r="31" spans="3:50">
      <c r="C31" s="207" t="s">
        <v>64</v>
      </c>
      <c r="D31" s="208"/>
      <c r="E31" s="208"/>
      <c r="F31" s="208"/>
      <c r="G31" s="208"/>
      <c r="H31" s="208"/>
      <c r="I31" s="209"/>
      <c r="J31" s="44"/>
      <c r="K31" s="45">
        <f t="shared" ca="1" si="4"/>
        <v>1</v>
      </c>
      <c r="L31" s="55"/>
      <c r="M31" s="82" t="s">
        <v>4</v>
      </c>
      <c r="N31" s="83"/>
      <c r="O31" s="83"/>
      <c r="P31" s="83"/>
      <c r="Q31" s="83"/>
      <c r="R31" s="58"/>
      <c r="S31" s="59">
        <v>2</v>
      </c>
      <c r="T31" s="51">
        <f t="shared" si="5"/>
        <v>45959</v>
      </c>
      <c r="U31" s="84"/>
      <c r="V31" s="85"/>
      <c r="W31" s="85"/>
      <c r="X31" s="53"/>
      <c r="Y31" s="85"/>
      <c r="Z31" s="85"/>
      <c r="AA31" s="53"/>
      <c r="AB31" s="53"/>
      <c r="AC31" s="53"/>
      <c r="AD31" s="53"/>
      <c r="AE31" s="53"/>
      <c r="AF31" s="53"/>
      <c r="AG31" s="53"/>
      <c r="AH31" s="85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</row>
    <row r="32" spans="3:50">
      <c r="C32" s="207" t="s">
        <v>65</v>
      </c>
      <c r="D32" s="208"/>
      <c r="E32" s="208"/>
      <c r="F32" s="208"/>
      <c r="G32" s="208"/>
      <c r="H32" s="208"/>
      <c r="I32" s="209"/>
      <c r="J32" s="44"/>
      <c r="K32" s="45">
        <f t="shared" ca="1" si="4"/>
        <v>1</v>
      </c>
      <c r="L32" s="55"/>
      <c r="M32" s="82" t="s">
        <v>4</v>
      </c>
      <c r="N32" s="83"/>
      <c r="O32" s="83"/>
      <c r="P32" s="83"/>
      <c r="Q32" s="83"/>
      <c r="R32" s="58"/>
      <c r="S32" s="59">
        <v>2</v>
      </c>
      <c r="T32" s="51">
        <f t="shared" si="5"/>
        <v>45961</v>
      </c>
      <c r="U32" s="84"/>
      <c r="V32" s="85"/>
      <c r="W32" s="85"/>
      <c r="X32" s="53"/>
      <c r="Y32" s="85"/>
      <c r="Z32" s="85"/>
      <c r="AA32" s="53"/>
      <c r="AB32" s="53"/>
      <c r="AC32" s="53"/>
      <c r="AD32" s="53"/>
      <c r="AE32" s="53"/>
      <c r="AF32" s="53"/>
      <c r="AG32" s="53"/>
      <c r="AH32" s="85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spans="3:50">
      <c r="C33" s="207" t="s">
        <v>66</v>
      </c>
      <c r="D33" s="208"/>
      <c r="E33" s="208"/>
      <c r="F33" s="208"/>
      <c r="G33" s="208"/>
      <c r="H33" s="208"/>
      <c r="I33" s="209"/>
      <c r="J33" s="44"/>
      <c r="K33" s="45">
        <f t="shared" ca="1" si="4"/>
        <v>1</v>
      </c>
      <c r="L33" s="55"/>
      <c r="M33" s="82" t="s">
        <v>4</v>
      </c>
      <c r="N33" s="83"/>
      <c r="O33" s="83"/>
      <c r="P33" s="83"/>
      <c r="Q33" s="83"/>
      <c r="R33" s="58"/>
      <c r="S33" s="59">
        <v>2</v>
      </c>
      <c r="T33" s="51">
        <f t="shared" si="5"/>
        <v>45963</v>
      </c>
      <c r="U33" s="84"/>
      <c r="V33" s="85"/>
      <c r="W33" s="85"/>
      <c r="X33" s="53"/>
      <c r="Y33" s="85"/>
      <c r="Z33" s="85"/>
      <c r="AA33" s="53"/>
      <c r="AB33" s="53"/>
      <c r="AC33" s="53"/>
      <c r="AD33" s="53"/>
      <c r="AE33" s="53"/>
      <c r="AF33" s="53"/>
      <c r="AG33" s="53"/>
      <c r="AH33" s="85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</row>
    <row r="34" spans="3:50" ht="15.75" thickBot="1">
      <c r="C34" s="210" t="s">
        <v>67</v>
      </c>
      <c r="D34" s="211"/>
      <c r="E34" s="211"/>
      <c r="F34" s="211"/>
      <c r="G34" s="211"/>
      <c r="H34" s="211"/>
      <c r="I34" s="212"/>
      <c r="J34" s="44"/>
      <c r="K34" s="45">
        <f ca="1">IF($C$20-$G$8&lt;0%,100%,0.01%)</f>
        <v>1</v>
      </c>
      <c r="L34" s="55"/>
      <c r="M34" s="82" t="s">
        <v>4</v>
      </c>
      <c r="N34" s="86"/>
      <c r="O34" s="86"/>
      <c r="P34" s="86"/>
      <c r="Q34" s="86"/>
      <c r="R34" s="87"/>
      <c r="S34" s="59">
        <v>2</v>
      </c>
      <c r="T34" s="51">
        <f t="shared" si="5"/>
        <v>45965</v>
      </c>
      <c r="U34" s="84"/>
      <c r="V34" s="85"/>
      <c r="W34" s="85"/>
      <c r="X34" s="53"/>
      <c r="Y34" s="85"/>
      <c r="Z34" s="85"/>
      <c r="AA34" s="53"/>
      <c r="AB34" s="53"/>
      <c r="AC34" s="53"/>
      <c r="AD34" s="53"/>
      <c r="AE34" s="53"/>
      <c r="AF34" s="53"/>
      <c r="AG34" s="53"/>
      <c r="AH34" s="85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</row>
    <row r="35" spans="3:50" ht="15.75">
      <c r="C35" s="220">
        <f>$C$3+(D35*7)</f>
        <v>45973</v>
      </c>
      <c r="D35" s="222">
        <v>-20</v>
      </c>
      <c r="E35" s="224" t="s">
        <v>40</v>
      </c>
      <c r="F35" s="224"/>
      <c r="G35" s="224"/>
      <c r="H35" s="224"/>
      <c r="I35" s="225"/>
      <c r="J35" s="213">
        <f>SUM(J37:J43)/COUNTA(C37:I43)</f>
        <v>0</v>
      </c>
      <c r="K35" s="213">
        <f ca="1">AVERAGE(K37:K43)</f>
        <v>1.0000000000000002E-4</v>
      </c>
      <c r="L35" s="88"/>
      <c r="M35" s="89"/>
      <c r="N35" s="90"/>
      <c r="O35" s="90"/>
      <c r="P35" s="90"/>
      <c r="Q35" s="90"/>
      <c r="R35" s="91"/>
      <c r="S35" s="92"/>
      <c r="T35" s="93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</row>
    <row r="36" spans="3:50" ht="16.5" thickBot="1">
      <c r="C36" s="221"/>
      <c r="D36" s="223"/>
      <c r="E36" s="226" t="s">
        <v>68</v>
      </c>
      <c r="F36" s="226"/>
      <c r="G36" s="226"/>
      <c r="H36" s="226"/>
      <c r="I36" s="227"/>
      <c r="J36" s="214"/>
      <c r="K36" s="214"/>
      <c r="L36" s="42"/>
      <c r="M36" s="94"/>
      <c r="N36" s="95"/>
      <c r="O36" s="95"/>
      <c r="P36" s="95"/>
      <c r="Q36" s="95"/>
      <c r="R36" s="96"/>
      <c r="S36" s="97"/>
      <c r="T36" s="98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</row>
    <row r="37" spans="3:50">
      <c r="C37" s="217" t="s">
        <v>69</v>
      </c>
      <c r="D37" s="218"/>
      <c r="E37" s="218"/>
      <c r="F37" s="218"/>
      <c r="G37" s="218"/>
      <c r="H37" s="218"/>
      <c r="I37" s="219"/>
      <c r="J37" s="99"/>
      <c r="K37" s="73">
        <f t="shared" ref="K37:K43" ca="1" si="6">IF($C$35-$G$8&lt;0%,100%,0.01%)</f>
        <v>1E-4</v>
      </c>
      <c r="L37" s="100"/>
      <c r="M37" s="75" t="s">
        <v>14</v>
      </c>
      <c r="N37" s="76" t="s">
        <v>11</v>
      </c>
      <c r="O37" s="76" t="s">
        <v>21</v>
      </c>
      <c r="P37" s="76"/>
      <c r="Q37" s="76"/>
      <c r="R37" s="77"/>
      <c r="S37" s="101">
        <v>1</v>
      </c>
      <c r="T37" s="51">
        <f>$C$35+S37</f>
        <v>45974</v>
      </c>
      <c r="U37" s="102"/>
      <c r="V37" s="103"/>
      <c r="W37" s="103"/>
      <c r="X37" s="81"/>
      <c r="Y37" s="103"/>
      <c r="Z37" s="103"/>
      <c r="AA37" s="81"/>
      <c r="AB37" s="81"/>
      <c r="AC37" s="81"/>
      <c r="AD37" s="81"/>
      <c r="AE37" s="81"/>
      <c r="AF37" s="81"/>
      <c r="AG37" s="81"/>
      <c r="AH37" s="103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</row>
    <row r="38" spans="3:50">
      <c r="C38" s="238" t="s">
        <v>70</v>
      </c>
      <c r="D38" s="239"/>
      <c r="E38" s="239"/>
      <c r="F38" s="239"/>
      <c r="G38" s="239"/>
      <c r="H38" s="239"/>
      <c r="I38" s="240"/>
      <c r="J38" s="104"/>
      <c r="K38" s="45">
        <f t="shared" ca="1" si="6"/>
        <v>1E-4</v>
      </c>
      <c r="L38" s="55"/>
      <c r="M38" s="56" t="s">
        <v>4</v>
      </c>
      <c r="N38" s="83"/>
      <c r="O38" s="83"/>
      <c r="P38" s="83"/>
      <c r="Q38" s="83"/>
      <c r="R38" s="105"/>
      <c r="S38" s="106">
        <v>1</v>
      </c>
      <c r="T38" s="51">
        <f t="shared" ref="T38:T43" si="7">$C$35+S38</f>
        <v>45974</v>
      </c>
      <c r="U38" s="84"/>
      <c r="V38" s="85"/>
      <c r="W38" s="85"/>
      <c r="X38" s="53"/>
      <c r="Y38" s="85"/>
      <c r="Z38" s="85"/>
      <c r="AA38" s="53"/>
      <c r="AB38" s="53"/>
      <c r="AC38" s="53"/>
      <c r="AD38" s="53"/>
      <c r="AE38" s="53"/>
      <c r="AF38" s="53"/>
      <c r="AG38" s="53"/>
      <c r="AH38" s="85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spans="3:50">
      <c r="C39" s="233" t="s">
        <v>71</v>
      </c>
      <c r="D39" s="236"/>
      <c r="E39" s="236"/>
      <c r="F39" s="236"/>
      <c r="G39" s="236"/>
      <c r="H39" s="236"/>
      <c r="I39" s="237"/>
      <c r="J39" s="104"/>
      <c r="K39" s="45">
        <f t="shared" ca="1" si="6"/>
        <v>1E-4</v>
      </c>
      <c r="L39" s="55"/>
      <c r="M39" s="56" t="s">
        <v>4</v>
      </c>
      <c r="N39" s="83" t="s">
        <v>14</v>
      </c>
      <c r="O39" s="83"/>
      <c r="P39" s="83"/>
      <c r="Q39" s="83"/>
      <c r="R39" s="105"/>
      <c r="S39" s="106">
        <v>7</v>
      </c>
      <c r="T39" s="51">
        <f t="shared" si="7"/>
        <v>45980</v>
      </c>
      <c r="U39" s="84"/>
      <c r="V39" s="85"/>
      <c r="W39" s="85"/>
      <c r="X39" s="53"/>
      <c r="Y39" s="85"/>
      <c r="Z39" s="85"/>
      <c r="AA39" s="53"/>
      <c r="AB39" s="53"/>
      <c r="AC39" s="53"/>
      <c r="AD39" s="53"/>
      <c r="AE39" s="53"/>
      <c r="AF39" s="53"/>
      <c r="AG39" s="53"/>
      <c r="AH39" s="85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</row>
    <row r="40" spans="3:50">
      <c r="C40" s="207" t="s">
        <v>72</v>
      </c>
      <c r="D40" s="208"/>
      <c r="E40" s="208"/>
      <c r="F40" s="208"/>
      <c r="G40" s="208"/>
      <c r="H40" s="208"/>
      <c r="I40" s="209"/>
      <c r="J40" s="104"/>
      <c r="K40" s="45">
        <f t="shared" ca="1" si="6"/>
        <v>1E-4</v>
      </c>
      <c r="L40" s="55"/>
      <c r="M40" s="56" t="s">
        <v>4</v>
      </c>
      <c r="N40" s="83"/>
      <c r="O40" s="83"/>
      <c r="P40" s="83"/>
      <c r="Q40" s="83"/>
      <c r="R40" s="105"/>
      <c r="S40" s="106">
        <v>1</v>
      </c>
      <c r="T40" s="51">
        <f t="shared" si="7"/>
        <v>45974</v>
      </c>
      <c r="U40" s="84"/>
      <c r="V40" s="85"/>
      <c r="W40" s="107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</row>
    <row r="41" spans="3:50">
      <c r="C41" s="207" t="s">
        <v>73</v>
      </c>
      <c r="D41" s="208"/>
      <c r="E41" s="208"/>
      <c r="F41" s="208"/>
      <c r="G41" s="208"/>
      <c r="H41" s="208"/>
      <c r="I41" s="209"/>
      <c r="J41" s="104"/>
      <c r="K41" s="45">
        <f t="shared" ca="1" si="6"/>
        <v>1E-4</v>
      </c>
      <c r="L41" s="55"/>
      <c r="M41" s="56" t="s">
        <v>11</v>
      </c>
      <c r="N41" s="83" t="s">
        <v>14</v>
      </c>
      <c r="O41" s="83" t="s">
        <v>21</v>
      </c>
      <c r="P41" s="83"/>
      <c r="Q41" s="83"/>
      <c r="R41" s="105"/>
      <c r="S41" s="106">
        <v>1</v>
      </c>
      <c r="T41" s="51">
        <f t="shared" si="7"/>
        <v>45974</v>
      </c>
      <c r="U41" s="52"/>
      <c r="V41" s="53"/>
      <c r="W41" s="53"/>
      <c r="X41" s="53"/>
      <c r="Y41" s="53"/>
      <c r="Z41" s="53"/>
      <c r="AA41" s="53"/>
      <c r="AB41" s="53"/>
      <c r="AC41" s="53"/>
      <c r="AD41" s="54"/>
      <c r="AE41" s="53"/>
      <c r="AF41" s="54"/>
      <c r="AG41" s="54"/>
      <c r="AH41" s="53"/>
      <c r="AI41" s="53"/>
      <c r="AJ41" s="54"/>
      <c r="AK41" s="54"/>
      <c r="AL41" s="54"/>
      <c r="AM41" s="54"/>
      <c r="AN41" s="53"/>
      <c r="AO41" s="54"/>
      <c r="AP41" s="53"/>
      <c r="AQ41" s="53"/>
      <c r="AR41" s="53"/>
      <c r="AS41" s="53"/>
      <c r="AT41" s="53"/>
      <c r="AU41" s="53"/>
      <c r="AV41" s="54"/>
      <c r="AW41" s="53"/>
      <c r="AX41" s="53"/>
    </row>
    <row r="42" spans="3:50">
      <c r="C42" s="207" t="s">
        <v>74</v>
      </c>
      <c r="D42" s="208"/>
      <c r="E42" s="208"/>
      <c r="F42" s="208"/>
      <c r="G42" s="208"/>
      <c r="H42" s="208"/>
      <c r="I42" s="209"/>
      <c r="J42" s="104"/>
      <c r="K42" s="45">
        <f t="shared" ca="1" si="6"/>
        <v>1E-4</v>
      </c>
      <c r="L42" s="55"/>
      <c r="M42" s="56" t="s">
        <v>4</v>
      </c>
      <c r="N42" s="83"/>
      <c r="O42" s="83"/>
      <c r="P42" s="83"/>
      <c r="Q42" s="83"/>
      <c r="R42" s="105"/>
      <c r="S42" s="106">
        <v>1</v>
      </c>
      <c r="T42" s="51">
        <f t="shared" si="7"/>
        <v>45974</v>
      </c>
      <c r="U42" s="52"/>
      <c r="V42" s="53"/>
      <c r="W42" s="53"/>
      <c r="X42" s="53"/>
      <c r="Y42" s="53"/>
      <c r="Z42" s="53"/>
      <c r="AA42" s="53"/>
      <c r="AB42" s="53"/>
      <c r="AC42" s="53"/>
      <c r="AD42" s="54"/>
      <c r="AE42" s="53"/>
      <c r="AF42" s="54"/>
      <c r="AG42" s="54"/>
      <c r="AH42" s="53"/>
      <c r="AI42" s="53"/>
      <c r="AJ42" s="54"/>
      <c r="AK42" s="54"/>
      <c r="AL42" s="54"/>
      <c r="AM42" s="54"/>
      <c r="AN42" s="53"/>
      <c r="AO42" s="54"/>
      <c r="AP42" s="53"/>
      <c r="AQ42" s="53"/>
      <c r="AR42" s="53"/>
      <c r="AS42" s="53"/>
      <c r="AT42" s="53"/>
      <c r="AU42" s="53"/>
      <c r="AV42" s="54"/>
      <c r="AW42" s="53"/>
      <c r="AX42" s="53"/>
    </row>
    <row r="43" spans="3:50" ht="15.75" thickBot="1">
      <c r="C43" s="210" t="s">
        <v>75</v>
      </c>
      <c r="D43" s="211"/>
      <c r="E43" s="211"/>
      <c r="F43" s="211"/>
      <c r="G43" s="211"/>
      <c r="H43" s="211"/>
      <c r="I43" s="212"/>
      <c r="J43" s="104"/>
      <c r="K43" s="45">
        <f t="shared" ca="1" si="6"/>
        <v>1E-4</v>
      </c>
      <c r="L43" s="55"/>
      <c r="M43" s="108" t="s">
        <v>4</v>
      </c>
      <c r="N43" s="109"/>
      <c r="O43" s="109"/>
      <c r="P43" s="109"/>
      <c r="Q43" s="109"/>
      <c r="R43" s="110"/>
      <c r="S43" s="106">
        <v>1</v>
      </c>
      <c r="T43" s="51">
        <f t="shared" si="7"/>
        <v>45974</v>
      </c>
      <c r="U43" s="84"/>
      <c r="V43" s="85"/>
      <c r="W43" s="85"/>
      <c r="X43" s="53"/>
      <c r="Y43" s="85"/>
      <c r="Z43" s="85"/>
      <c r="AA43" s="53"/>
      <c r="AB43" s="53"/>
      <c r="AC43" s="53"/>
      <c r="AD43" s="53"/>
      <c r="AE43" s="53"/>
      <c r="AF43" s="53"/>
      <c r="AG43" s="53"/>
      <c r="AH43" s="85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</row>
    <row r="44" spans="3:50" ht="15.75">
      <c r="C44" s="220">
        <f>$C$3+(D44*7)</f>
        <v>45987</v>
      </c>
      <c r="D44" s="222">
        <v>-18</v>
      </c>
      <c r="E44" s="224" t="s">
        <v>40</v>
      </c>
      <c r="F44" s="224"/>
      <c r="G44" s="224"/>
      <c r="H44" s="224"/>
      <c r="I44" s="225"/>
      <c r="J44" s="213">
        <f>SUM(J47:J63)/COUNTA(C47:I63)</f>
        <v>0</v>
      </c>
      <c r="K44" s="213">
        <f ca="1">AVERAGE(K47:K63)</f>
        <v>1.0000000000000003E-4</v>
      </c>
      <c r="L44" s="40"/>
      <c r="M44" s="111"/>
      <c r="N44" s="112"/>
      <c r="O44" s="112"/>
      <c r="P44" s="112"/>
      <c r="Q44" s="112"/>
      <c r="R44" s="113"/>
      <c r="S44" s="114"/>
      <c r="T44" s="115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</row>
    <row r="45" spans="3:50" ht="16.5" thickBot="1">
      <c r="C45" s="221"/>
      <c r="D45" s="223"/>
      <c r="E45" s="226" t="s">
        <v>76</v>
      </c>
      <c r="F45" s="226"/>
      <c r="G45" s="226"/>
      <c r="H45" s="226"/>
      <c r="I45" s="227"/>
      <c r="J45" s="214"/>
      <c r="K45" s="214"/>
      <c r="L45" s="42"/>
      <c r="M45" s="94"/>
      <c r="N45" s="95"/>
      <c r="O45" s="95"/>
      <c r="P45" s="95"/>
      <c r="Q45" s="95"/>
      <c r="R45" s="96"/>
      <c r="S45" s="97"/>
      <c r="T45" s="98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</row>
    <row r="46" spans="3:50">
      <c r="C46" s="217" t="s">
        <v>77</v>
      </c>
      <c r="D46" s="218"/>
      <c r="E46" s="218"/>
      <c r="F46" s="218"/>
      <c r="G46" s="218"/>
      <c r="H46" s="218"/>
      <c r="I46" s="219"/>
      <c r="J46" s="72"/>
      <c r="K46" s="73">
        <f ca="1">IF($C$44-$G$8&lt;0%,100%,0.01%)</f>
        <v>1E-4</v>
      </c>
      <c r="L46" s="100"/>
      <c r="M46" s="75" t="s">
        <v>4</v>
      </c>
      <c r="N46" s="76"/>
      <c r="O46" s="76"/>
      <c r="P46" s="76"/>
      <c r="Q46" s="76"/>
      <c r="R46" s="77"/>
      <c r="S46" s="101"/>
      <c r="T46" s="51">
        <f>$C$44+S46</f>
        <v>45987</v>
      </c>
      <c r="U46" s="102"/>
      <c r="V46" s="103"/>
      <c r="W46" s="103"/>
      <c r="X46" s="81"/>
      <c r="Y46" s="103"/>
      <c r="Z46" s="103"/>
      <c r="AA46" s="81"/>
      <c r="AB46" s="81"/>
      <c r="AC46" s="81"/>
      <c r="AD46" s="81"/>
      <c r="AE46" s="81"/>
      <c r="AF46" s="81"/>
      <c r="AG46" s="81"/>
      <c r="AH46" s="103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</row>
    <row r="47" spans="3:50">
      <c r="C47" s="207" t="s">
        <v>78</v>
      </c>
      <c r="D47" s="208"/>
      <c r="E47" s="208"/>
      <c r="F47" s="208"/>
      <c r="G47" s="208"/>
      <c r="H47" s="208"/>
      <c r="I47" s="209"/>
      <c r="J47" s="116"/>
      <c r="K47" s="117">
        <f ca="1">IF($C$44-$G$8&lt;0%,100%,0.01%)</f>
        <v>1E-4</v>
      </c>
      <c r="L47" s="118"/>
      <c r="M47" s="56" t="s">
        <v>4</v>
      </c>
      <c r="N47" s="83"/>
      <c r="O47" s="83"/>
      <c r="P47" s="83"/>
      <c r="Q47" s="83"/>
      <c r="R47" s="105"/>
      <c r="S47" s="119"/>
      <c r="T47" s="51">
        <f t="shared" ref="T47:T50" si="8">$C$35+S47</f>
        <v>45973</v>
      </c>
      <c r="U47" s="120"/>
      <c r="V47" s="121"/>
      <c r="W47" s="121"/>
      <c r="X47" s="122"/>
      <c r="Y47" s="121"/>
      <c r="Z47" s="121"/>
      <c r="AA47" s="122"/>
      <c r="AB47" s="122"/>
      <c r="AC47" s="122"/>
      <c r="AD47" s="122"/>
      <c r="AE47" s="122"/>
      <c r="AF47" s="122"/>
      <c r="AG47" s="122"/>
      <c r="AH47" s="121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</row>
    <row r="48" spans="3:50">
      <c r="C48" s="207" t="s">
        <v>79</v>
      </c>
      <c r="D48" s="208"/>
      <c r="E48" s="208"/>
      <c r="F48" s="208"/>
      <c r="G48" s="208"/>
      <c r="H48" s="208"/>
      <c r="I48" s="209"/>
      <c r="J48" s="44"/>
      <c r="K48" s="45">
        <f ca="1">IF($C$44-$G$8&lt;0%,100%,0.01%)</f>
        <v>1E-4</v>
      </c>
      <c r="L48" s="55"/>
      <c r="M48" s="47" t="s">
        <v>4</v>
      </c>
      <c r="N48" s="83"/>
      <c r="O48" s="83"/>
      <c r="P48" s="83"/>
      <c r="Q48" s="83"/>
      <c r="R48" s="105"/>
      <c r="S48" s="106"/>
      <c r="T48" s="51">
        <f t="shared" si="8"/>
        <v>45973</v>
      </c>
      <c r="U48" s="123"/>
      <c r="V48" s="124"/>
      <c r="W48" s="124"/>
      <c r="X48" s="53"/>
      <c r="Y48" s="124"/>
      <c r="Z48" s="124"/>
      <c r="AA48" s="53"/>
      <c r="AB48" s="53"/>
      <c r="AC48" s="53"/>
      <c r="AD48" s="53"/>
      <c r="AE48" s="53"/>
      <c r="AF48" s="53"/>
      <c r="AG48" s="53"/>
      <c r="AH48" s="124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</row>
    <row r="49" spans="3:50" ht="15" customHeight="1">
      <c r="C49" s="207" t="s">
        <v>80</v>
      </c>
      <c r="D49" s="208"/>
      <c r="E49" s="208"/>
      <c r="F49" s="208"/>
      <c r="G49" s="208"/>
      <c r="H49" s="208"/>
      <c r="I49" s="209"/>
      <c r="J49" s="44"/>
      <c r="K49" s="45">
        <f ca="1">IF($C$44-$G$8&lt;0%,100%,0.01%)</f>
        <v>1E-4</v>
      </c>
      <c r="L49" s="55"/>
      <c r="M49" s="56" t="s">
        <v>4</v>
      </c>
      <c r="N49" s="83"/>
      <c r="O49" s="83"/>
      <c r="P49" s="83"/>
      <c r="Q49" s="83"/>
      <c r="R49" s="105"/>
      <c r="S49" s="106"/>
      <c r="T49" s="51">
        <f t="shared" si="8"/>
        <v>45973</v>
      </c>
      <c r="U49" s="123"/>
      <c r="V49" s="124"/>
      <c r="W49" s="124"/>
      <c r="X49" s="53"/>
      <c r="Y49" s="124"/>
      <c r="Z49" s="124"/>
      <c r="AA49" s="53"/>
      <c r="AB49" s="53"/>
      <c r="AC49" s="53"/>
      <c r="AD49" s="53"/>
      <c r="AE49" s="53"/>
      <c r="AF49" s="53"/>
      <c r="AG49" s="53"/>
      <c r="AH49" s="124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</row>
    <row r="50" spans="3:50" ht="15" customHeight="1" thickBot="1">
      <c r="C50" s="210" t="s">
        <v>81</v>
      </c>
      <c r="D50" s="211"/>
      <c r="E50" s="211"/>
      <c r="F50" s="211"/>
      <c r="G50" s="211"/>
      <c r="H50" s="211"/>
      <c r="I50" s="212"/>
      <c r="J50" s="44"/>
      <c r="K50" s="45">
        <f ca="1">IF($C$44-$G$8&lt;0%,100%,0.01%)</f>
        <v>1E-4</v>
      </c>
      <c r="L50" s="55"/>
      <c r="M50" s="125" t="s">
        <v>4</v>
      </c>
      <c r="N50" s="86"/>
      <c r="O50" s="86"/>
      <c r="P50" s="86"/>
      <c r="Q50" s="86"/>
      <c r="R50" s="126"/>
      <c r="S50" s="106"/>
      <c r="T50" s="51">
        <f t="shared" si="8"/>
        <v>45973</v>
      </c>
      <c r="U50" s="123"/>
      <c r="V50" s="124"/>
      <c r="W50" s="124"/>
      <c r="X50" s="53"/>
      <c r="Y50" s="124"/>
      <c r="Z50" s="124"/>
      <c r="AA50" s="53"/>
      <c r="AB50" s="53"/>
      <c r="AC50" s="53"/>
      <c r="AD50" s="53"/>
      <c r="AE50" s="53"/>
      <c r="AF50" s="53"/>
      <c r="AG50" s="53"/>
      <c r="AH50" s="124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spans="3:50" ht="15.75">
      <c r="C51" s="220">
        <f>$C$3+(D51*7)</f>
        <v>46001</v>
      </c>
      <c r="D51" s="222">
        <v>-16</v>
      </c>
      <c r="E51" s="224" t="s">
        <v>40</v>
      </c>
      <c r="F51" s="224"/>
      <c r="G51" s="224"/>
      <c r="H51" s="224"/>
      <c r="I51" s="225"/>
      <c r="J51" s="213">
        <f>SUM(J54:J74)/COUNTA(C54:I74)</f>
        <v>0</v>
      </c>
      <c r="K51" s="213">
        <f ca="1">AVERAGE(K54:K74)</f>
        <v>1.0000000000000002E-4</v>
      </c>
      <c r="L51" s="40"/>
      <c r="M51" s="111"/>
      <c r="N51" s="112"/>
      <c r="O51" s="112"/>
      <c r="P51" s="112"/>
      <c r="Q51" s="112"/>
      <c r="R51" s="113"/>
      <c r="S51" s="114"/>
      <c r="T51" s="115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</row>
    <row r="52" spans="3:50" ht="16.5" thickBot="1">
      <c r="C52" s="221"/>
      <c r="D52" s="223"/>
      <c r="E52" s="226" t="s">
        <v>82</v>
      </c>
      <c r="F52" s="226"/>
      <c r="G52" s="226"/>
      <c r="H52" s="226"/>
      <c r="I52" s="227"/>
      <c r="J52" s="214"/>
      <c r="K52" s="214"/>
      <c r="L52" s="42"/>
      <c r="M52" s="94"/>
      <c r="N52" s="95"/>
      <c r="O52" s="95"/>
      <c r="P52" s="95"/>
      <c r="Q52" s="95"/>
      <c r="R52" s="96"/>
      <c r="S52" s="97"/>
      <c r="T52" s="98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</row>
    <row r="53" spans="3:50">
      <c r="C53" s="217" t="s">
        <v>83</v>
      </c>
      <c r="D53" s="218"/>
      <c r="E53" s="218"/>
      <c r="F53" s="218"/>
      <c r="G53" s="218"/>
      <c r="H53" s="218"/>
      <c r="I53" s="218"/>
      <c r="J53" s="72"/>
      <c r="K53" s="45">
        <f ca="1">IF($C$44-$G$8&lt;0%,100%,0.01%)</f>
        <v>1E-4</v>
      </c>
      <c r="L53" s="55"/>
      <c r="M53" s="127" t="s">
        <v>4</v>
      </c>
      <c r="N53" s="128"/>
      <c r="O53" s="128"/>
      <c r="P53" s="128"/>
      <c r="Q53" s="128"/>
      <c r="R53" s="129"/>
      <c r="S53" s="130"/>
      <c r="T53" s="51">
        <f>$C$51+S53</f>
        <v>46001</v>
      </c>
      <c r="U53" s="84"/>
      <c r="V53" s="85"/>
      <c r="W53" s="85"/>
      <c r="X53" s="85"/>
      <c r="Y53" s="85"/>
      <c r="Z53" s="85"/>
      <c r="AA53" s="53"/>
      <c r="AB53" s="53"/>
      <c r="AC53" s="53"/>
      <c r="AD53" s="53"/>
      <c r="AE53" s="53"/>
      <c r="AF53" s="53"/>
      <c r="AG53" s="53"/>
      <c r="AH53" s="85"/>
      <c r="AI53" s="53"/>
      <c r="AJ53" s="53"/>
      <c r="AK53" s="53"/>
      <c r="AL53" s="53"/>
      <c r="AM53" s="53"/>
      <c r="AN53" s="54"/>
      <c r="AO53" s="53"/>
      <c r="AP53" s="53"/>
      <c r="AQ53" s="53"/>
      <c r="AR53" s="53"/>
      <c r="AS53" s="53"/>
      <c r="AT53" s="53"/>
      <c r="AU53" s="53"/>
      <c r="AV53" s="53"/>
      <c r="AW53" s="53"/>
      <c r="AX53" s="53"/>
    </row>
    <row r="54" spans="3:50">
      <c r="C54" s="207" t="s">
        <v>84</v>
      </c>
      <c r="D54" s="208"/>
      <c r="E54" s="208"/>
      <c r="F54" s="208"/>
      <c r="G54" s="208"/>
      <c r="H54" s="208"/>
      <c r="I54" s="208"/>
      <c r="J54" s="44"/>
      <c r="K54" s="45">
        <f ca="1">IF($C$44-$G$8&lt;0%,100%,0.01%)</f>
        <v>1E-4</v>
      </c>
      <c r="L54" s="55"/>
      <c r="M54" s="56" t="s">
        <v>4</v>
      </c>
      <c r="N54" s="83" t="s">
        <v>14</v>
      </c>
      <c r="O54" s="83"/>
      <c r="P54" s="83"/>
      <c r="Q54" s="83"/>
      <c r="R54" s="105"/>
      <c r="S54" s="59"/>
      <c r="T54" s="51">
        <f t="shared" ref="T54:T63" si="9">$C$51+S54</f>
        <v>46001</v>
      </c>
      <c r="U54" s="84"/>
      <c r="V54" s="85"/>
      <c r="W54" s="85"/>
      <c r="X54" s="53"/>
      <c r="Y54" s="85"/>
      <c r="Z54" s="85"/>
      <c r="AA54" s="53"/>
      <c r="AB54" s="53"/>
      <c r="AC54" s="53"/>
      <c r="AD54" s="53"/>
      <c r="AE54" s="53"/>
      <c r="AF54" s="53"/>
      <c r="AG54" s="53"/>
      <c r="AH54" s="85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</row>
    <row r="55" spans="3:50">
      <c r="C55" s="207" t="s">
        <v>85</v>
      </c>
      <c r="D55" s="208"/>
      <c r="E55" s="208"/>
      <c r="F55" s="208"/>
      <c r="G55" s="208"/>
      <c r="H55" s="208"/>
      <c r="I55" s="208"/>
      <c r="J55" s="44"/>
      <c r="K55" s="45">
        <f ca="1">IF($C$44-$G$8&lt;0%,100%,0.01%)</f>
        <v>1E-4</v>
      </c>
      <c r="L55" s="55"/>
      <c r="M55" s="56" t="s">
        <v>4</v>
      </c>
      <c r="N55" s="83"/>
      <c r="O55" s="83"/>
      <c r="P55" s="83"/>
      <c r="Q55" s="83"/>
      <c r="R55" s="105"/>
      <c r="S55" s="59"/>
      <c r="T55" s="51">
        <f t="shared" si="9"/>
        <v>46001</v>
      </c>
      <c r="U55" s="84"/>
      <c r="V55" s="85"/>
      <c r="W55" s="85"/>
      <c r="X55" s="53"/>
      <c r="Y55" s="85"/>
      <c r="Z55" s="85"/>
      <c r="AA55" s="53"/>
      <c r="AB55" s="53"/>
      <c r="AC55" s="53"/>
      <c r="AD55" s="53"/>
      <c r="AE55" s="53"/>
      <c r="AF55" s="53"/>
      <c r="AG55" s="53"/>
      <c r="AH55" s="85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</row>
    <row r="56" spans="3:50">
      <c r="C56" s="207" t="s">
        <v>86</v>
      </c>
      <c r="D56" s="208"/>
      <c r="E56" s="208"/>
      <c r="F56" s="208"/>
      <c r="G56" s="208"/>
      <c r="H56" s="208"/>
      <c r="I56" s="208"/>
      <c r="J56" s="44"/>
      <c r="K56" s="45">
        <f ca="1">IF($C$44-$G$8&lt;0%,100%,0.01%)</f>
        <v>1E-4</v>
      </c>
      <c r="L56" s="55"/>
      <c r="M56" s="56" t="s">
        <v>4</v>
      </c>
      <c r="N56" s="83"/>
      <c r="O56" s="83"/>
      <c r="P56" s="83"/>
      <c r="Q56" s="83"/>
      <c r="R56" s="105"/>
      <c r="S56" s="59"/>
      <c r="T56" s="51">
        <f t="shared" si="9"/>
        <v>46001</v>
      </c>
      <c r="U56" s="84"/>
      <c r="V56" s="85"/>
      <c r="W56" s="85"/>
      <c r="X56" s="53"/>
      <c r="Y56" s="85"/>
      <c r="Z56" s="85"/>
      <c r="AA56" s="53"/>
      <c r="AB56" s="53"/>
      <c r="AC56" s="53"/>
      <c r="AD56" s="53"/>
      <c r="AE56" s="53"/>
      <c r="AF56" s="53"/>
      <c r="AG56" s="53"/>
      <c r="AH56" s="85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spans="3:50">
      <c r="C57" s="228" t="s">
        <v>87</v>
      </c>
      <c r="D57" s="208"/>
      <c r="E57" s="208"/>
      <c r="F57" s="208"/>
      <c r="G57" s="208"/>
      <c r="H57" s="208"/>
      <c r="I57" s="208"/>
      <c r="J57" s="131"/>
      <c r="K57" s="45">
        <f t="shared" ref="K57:K63" ca="1" si="10">IF($C$44-$G$8&lt;0%,100%,0.01%)</f>
        <v>1E-4</v>
      </c>
      <c r="L57" s="132"/>
      <c r="M57" s="56" t="s">
        <v>4</v>
      </c>
      <c r="N57" s="83" t="s">
        <v>11</v>
      </c>
      <c r="O57" s="83"/>
      <c r="P57" s="83"/>
      <c r="Q57" s="83"/>
      <c r="R57" s="105"/>
      <c r="S57" s="133"/>
      <c r="T57" s="51">
        <f t="shared" si="9"/>
        <v>46001</v>
      </c>
      <c r="U57" s="134"/>
      <c r="V57" s="135"/>
      <c r="W57" s="135"/>
      <c r="X57" s="136"/>
      <c r="Y57" s="135"/>
      <c r="Z57" s="135"/>
      <c r="AA57" s="136"/>
      <c r="AB57" s="136"/>
      <c r="AC57" s="136"/>
      <c r="AD57" s="136"/>
      <c r="AE57" s="136"/>
      <c r="AF57" s="136"/>
      <c r="AG57" s="136"/>
      <c r="AH57" s="135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</row>
    <row r="58" spans="3:50">
      <c r="C58" s="207" t="s">
        <v>88</v>
      </c>
      <c r="D58" s="208"/>
      <c r="E58" s="208"/>
      <c r="F58" s="208"/>
      <c r="G58" s="208"/>
      <c r="H58" s="208"/>
      <c r="I58" s="208"/>
      <c r="J58" s="131"/>
      <c r="K58" s="45">
        <f t="shared" ca="1" si="10"/>
        <v>1E-4</v>
      </c>
      <c r="L58" s="132"/>
      <c r="M58" s="56" t="s">
        <v>4</v>
      </c>
      <c r="N58" s="83"/>
      <c r="O58" s="83"/>
      <c r="P58" s="83"/>
      <c r="Q58" s="83"/>
      <c r="R58" s="105"/>
      <c r="S58" s="133"/>
      <c r="T58" s="51">
        <f t="shared" si="9"/>
        <v>46001</v>
      </c>
      <c r="U58" s="134"/>
      <c r="V58" s="135"/>
      <c r="W58" s="135"/>
      <c r="X58" s="136"/>
      <c r="Y58" s="135"/>
      <c r="Z58" s="135"/>
      <c r="AA58" s="136"/>
      <c r="AB58" s="136"/>
      <c r="AC58" s="136"/>
      <c r="AD58" s="136"/>
      <c r="AE58" s="136"/>
      <c r="AF58" s="136"/>
      <c r="AG58" s="136"/>
      <c r="AH58" s="135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</row>
    <row r="59" spans="3:50">
      <c r="C59" s="207" t="s">
        <v>89</v>
      </c>
      <c r="D59" s="208"/>
      <c r="E59" s="208"/>
      <c r="F59" s="208"/>
      <c r="G59" s="208"/>
      <c r="H59" s="208"/>
      <c r="I59" s="208"/>
      <c r="J59" s="131"/>
      <c r="K59" s="45">
        <f t="shared" ca="1" si="10"/>
        <v>1E-4</v>
      </c>
      <c r="L59" s="132"/>
      <c r="M59" s="56" t="s">
        <v>11</v>
      </c>
      <c r="N59" s="83" t="s">
        <v>14</v>
      </c>
      <c r="O59" s="83" t="s">
        <v>21</v>
      </c>
      <c r="P59" s="83"/>
      <c r="Q59" s="83"/>
      <c r="R59" s="105"/>
      <c r="S59" s="133"/>
      <c r="T59" s="51">
        <f t="shared" si="9"/>
        <v>46001</v>
      </c>
      <c r="U59" s="134"/>
      <c r="V59" s="135"/>
      <c r="W59" s="135"/>
      <c r="X59" s="136"/>
      <c r="Y59" s="135"/>
      <c r="Z59" s="135"/>
      <c r="AA59" s="136"/>
      <c r="AB59" s="136"/>
      <c r="AC59" s="136"/>
      <c r="AD59" s="136"/>
      <c r="AE59" s="136"/>
      <c r="AF59" s="136"/>
      <c r="AG59" s="136"/>
      <c r="AH59" s="135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</row>
    <row r="60" spans="3:50">
      <c r="C60" s="207" t="s">
        <v>90</v>
      </c>
      <c r="D60" s="208"/>
      <c r="E60" s="208"/>
      <c r="F60" s="208"/>
      <c r="G60" s="208"/>
      <c r="H60" s="208"/>
      <c r="I60" s="208"/>
      <c r="J60" s="131"/>
      <c r="K60" s="45">
        <f t="shared" ca="1" si="10"/>
        <v>1E-4</v>
      </c>
      <c r="L60" s="132"/>
      <c r="M60" s="56" t="s">
        <v>11</v>
      </c>
      <c r="N60" s="83" t="s">
        <v>14</v>
      </c>
      <c r="O60" s="83" t="s">
        <v>21</v>
      </c>
      <c r="P60" s="83"/>
      <c r="Q60" s="83"/>
      <c r="R60" s="105"/>
      <c r="S60" s="133"/>
      <c r="T60" s="51">
        <f t="shared" si="9"/>
        <v>46001</v>
      </c>
      <c r="U60" s="134"/>
      <c r="V60" s="135"/>
      <c r="W60" s="135"/>
      <c r="X60" s="136"/>
      <c r="Y60" s="135"/>
      <c r="Z60" s="135"/>
      <c r="AA60" s="136"/>
      <c r="AB60" s="136"/>
      <c r="AC60" s="136"/>
      <c r="AD60" s="136"/>
      <c r="AE60" s="136"/>
      <c r="AF60" s="136"/>
      <c r="AG60" s="136"/>
      <c r="AH60" s="135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</row>
    <row r="61" spans="3:50">
      <c r="C61" s="207" t="s">
        <v>91</v>
      </c>
      <c r="D61" s="208"/>
      <c r="E61" s="208"/>
      <c r="F61" s="208"/>
      <c r="G61" s="208"/>
      <c r="H61" s="208"/>
      <c r="I61" s="208"/>
      <c r="J61" s="131"/>
      <c r="K61" s="45">
        <f t="shared" ca="1" si="10"/>
        <v>1E-4</v>
      </c>
      <c r="L61" s="132"/>
      <c r="M61" s="56" t="s">
        <v>4</v>
      </c>
      <c r="N61" s="83"/>
      <c r="O61" s="83"/>
      <c r="P61" s="83"/>
      <c r="Q61" s="83"/>
      <c r="R61" s="105"/>
      <c r="S61" s="133"/>
      <c r="T61" s="51">
        <f t="shared" si="9"/>
        <v>46001</v>
      </c>
      <c r="U61" s="134"/>
      <c r="V61" s="135"/>
      <c r="W61" s="135"/>
      <c r="X61" s="136"/>
      <c r="Y61" s="135"/>
      <c r="Z61" s="135"/>
      <c r="AA61" s="136"/>
      <c r="AB61" s="136"/>
      <c r="AC61" s="136"/>
      <c r="AD61" s="136"/>
      <c r="AE61" s="136"/>
      <c r="AF61" s="136"/>
      <c r="AG61" s="136"/>
      <c r="AH61" s="135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</row>
    <row r="62" spans="3:50">
      <c r="C62" s="207" t="s">
        <v>92</v>
      </c>
      <c r="D62" s="208"/>
      <c r="E62" s="208"/>
      <c r="F62" s="208"/>
      <c r="G62" s="208"/>
      <c r="H62" s="208"/>
      <c r="I62" s="208"/>
      <c r="J62" s="131"/>
      <c r="K62" s="45">
        <f t="shared" ca="1" si="10"/>
        <v>1E-4</v>
      </c>
      <c r="L62" s="132"/>
      <c r="M62" s="56" t="s">
        <v>4</v>
      </c>
      <c r="N62" s="83" t="s">
        <v>11</v>
      </c>
      <c r="O62" s="83"/>
      <c r="P62" s="83"/>
      <c r="Q62" s="83"/>
      <c r="R62" s="105"/>
      <c r="S62" s="133"/>
      <c r="T62" s="51">
        <f t="shared" si="9"/>
        <v>46001</v>
      </c>
      <c r="U62" s="134"/>
      <c r="V62" s="135"/>
      <c r="W62" s="135"/>
      <c r="X62" s="136"/>
      <c r="Y62" s="135"/>
      <c r="Z62" s="135"/>
      <c r="AA62" s="136"/>
      <c r="AB62" s="136"/>
      <c r="AC62" s="136"/>
      <c r="AD62" s="136"/>
      <c r="AE62" s="136"/>
      <c r="AF62" s="136"/>
      <c r="AG62" s="136"/>
      <c r="AH62" s="135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</row>
    <row r="63" spans="3:50" ht="15.75" thickBot="1">
      <c r="C63" s="210" t="s">
        <v>93</v>
      </c>
      <c r="D63" s="211"/>
      <c r="E63" s="211"/>
      <c r="F63" s="211"/>
      <c r="G63" s="211"/>
      <c r="H63" s="211"/>
      <c r="I63" s="211"/>
      <c r="J63" s="137"/>
      <c r="K63" s="45">
        <f t="shared" ca="1" si="10"/>
        <v>1E-4</v>
      </c>
      <c r="L63" s="132"/>
      <c r="M63" s="56" t="s">
        <v>4</v>
      </c>
      <c r="N63" s="83"/>
      <c r="O63" s="83"/>
      <c r="P63" s="83"/>
      <c r="Q63" s="83"/>
      <c r="R63" s="105"/>
      <c r="S63" s="133"/>
      <c r="T63" s="51">
        <f t="shared" si="9"/>
        <v>46001</v>
      </c>
      <c r="U63" s="134"/>
      <c r="V63" s="135"/>
      <c r="W63" s="135"/>
      <c r="X63" s="136"/>
      <c r="Y63" s="135"/>
      <c r="Z63" s="135"/>
      <c r="AA63" s="136"/>
      <c r="AB63" s="136"/>
      <c r="AC63" s="136"/>
      <c r="AD63" s="136"/>
      <c r="AE63" s="136"/>
      <c r="AF63" s="136"/>
      <c r="AG63" s="136"/>
      <c r="AH63" s="135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</row>
    <row r="64" spans="3:50" ht="15.75">
      <c r="C64" s="220">
        <f>$C$3+(D64*7)</f>
        <v>46015</v>
      </c>
      <c r="D64" s="222">
        <v>-14</v>
      </c>
      <c r="E64" s="224" t="s">
        <v>40</v>
      </c>
      <c r="F64" s="224"/>
      <c r="G64" s="224"/>
      <c r="H64" s="224"/>
      <c r="I64" s="225"/>
      <c r="J64" s="213">
        <f>SUM(J66:J74)/COUNTA(C66:I74)</f>
        <v>0</v>
      </c>
      <c r="K64" s="213">
        <f ca="1">AVERAGE(K66:K74)</f>
        <v>1.0000000000000002E-4</v>
      </c>
      <c r="L64" s="40"/>
      <c r="M64" s="111"/>
      <c r="N64" s="112"/>
      <c r="O64" s="112"/>
      <c r="P64" s="112"/>
      <c r="Q64" s="112"/>
      <c r="R64" s="113"/>
      <c r="S64" s="138"/>
      <c r="T64" s="115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</row>
    <row r="65" spans="3:50" ht="16.5" thickBot="1">
      <c r="C65" s="221"/>
      <c r="D65" s="223"/>
      <c r="E65" s="226" t="s">
        <v>94</v>
      </c>
      <c r="F65" s="226"/>
      <c r="G65" s="226"/>
      <c r="H65" s="226"/>
      <c r="I65" s="227"/>
      <c r="J65" s="214"/>
      <c r="K65" s="214"/>
      <c r="L65" s="42"/>
      <c r="M65" s="94"/>
      <c r="N65" s="95"/>
      <c r="O65" s="95"/>
      <c r="P65" s="95"/>
      <c r="Q65" s="95"/>
      <c r="R65" s="96"/>
      <c r="S65" s="139"/>
      <c r="T65" s="98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</row>
    <row r="66" spans="3:50">
      <c r="C66" s="217" t="s">
        <v>95</v>
      </c>
      <c r="D66" s="218"/>
      <c r="E66" s="218"/>
      <c r="F66" s="218"/>
      <c r="G66" s="218"/>
      <c r="H66" s="218"/>
      <c r="I66" s="218"/>
      <c r="J66" s="72"/>
      <c r="K66" s="73">
        <f t="shared" ref="K66:K74" ca="1" si="11">IF($C$64-$G$8&lt;0%,100%,0.01%)</f>
        <v>1E-4</v>
      </c>
      <c r="L66" s="100"/>
      <c r="M66" s="56" t="s">
        <v>11</v>
      </c>
      <c r="N66" s="83" t="s">
        <v>14</v>
      </c>
      <c r="O66" s="83" t="s">
        <v>21</v>
      </c>
      <c r="P66" s="76"/>
      <c r="Q66" s="76"/>
      <c r="R66" s="140"/>
      <c r="S66" s="78"/>
      <c r="T66" s="51">
        <f>$C$64+S66</f>
        <v>46015</v>
      </c>
      <c r="U66" s="102"/>
      <c r="V66" s="103"/>
      <c r="W66" s="103"/>
      <c r="X66" s="103"/>
      <c r="Y66" s="103"/>
      <c r="Z66" s="103"/>
      <c r="AA66" s="81"/>
      <c r="AB66" s="81"/>
      <c r="AC66" s="81"/>
      <c r="AD66" s="81"/>
      <c r="AE66" s="81"/>
      <c r="AF66" s="81"/>
      <c r="AG66" s="81"/>
      <c r="AH66" s="103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</row>
    <row r="67" spans="3:50">
      <c r="C67" s="207" t="s">
        <v>96</v>
      </c>
      <c r="D67" s="208"/>
      <c r="E67" s="208"/>
      <c r="F67" s="208"/>
      <c r="G67" s="208"/>
      <c r="H67" s="208"/>
      <c r="I67" s="208"/>
      <c r="J67" s="44"/>
      <c r="K67" s="117">
        <f t="shared" ca="1" si="11"/>
        <v>1E-4</v>
      </c>
      <c r="L67" s="55"/>
      <c r="M67" s="56" t="s">
        <v>11</v>
      </c>
      <c r="N67" s="83" t="s">
        <v>14</v>
      </c>
      <c r="O67" s="83" t="s">
        <v>21</v>
      </c>
      <c r="P67" s="83"/>
      <c r="Q67" s="83"/>
      <c r="R67" s="141"/>
      <c r="S67" s="59"/>
      <c r="T67" s="51">
        <f t="shared" ref="T67:T74" si="12">$C$64+S67</f>
        <v>46015</v>
      </c>
      <c r="U67" s="142"/>
      <c r="V67" s="143"/>
      <c r="W67" s="143"/>
      <c r="X67" s="143"/>
      <c r="Y67" s="143"/>
      <c r="Z67" s="143"/>
      <c r="AA67" s="144"/>
      <c r="AB67" s="144"/>
      <c r="AC67" s="144"/>
      <c r="AD67" s="144"/>
      <c r="AE67" s="144"/>
      <c r="AF67" s="144"/>
      <c r="AG67" s="144"/>
      <c r="AH67" s="143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</row>
    <row r="68" spans="3:50">
      <c r="C68" s="207" t="s">
        <v>97</v>
      </c>
      <c r="D68" s="208"/>
      <c r="E68" s="208"/>
      <c r="F68" s="208"/>
      <c r="G68" s="208"/>
      <c r="H68" s="208"/>
      <c r="I68" s="208"/>
      <c r="J68" s="44"/>
      <c r="K68" s="117">
        <f t="shared" ca="1" si="11"/>
        <v>1E-4</v>
      </c>
      <c r="L68" s="55"/>
      <c r="M68" s="145" t="s">
        <v>4</v>
      </c>
      <c r="N68" s="83"/>
      <c r="O68" s="83"/>
      <c r="P68" s="83"/>
      <c r="Q68" s="83"/>
      <c r="R68" s="141"/>
      <c r="S68" s="59"/>
      <c r="T68" s="51">
        <f t="shared" si="12"/>
        <v>46015</v>
      </c>
      <c r="U68" s="142"/>
      <c r="V68" s="143"/>
      <c r="W68" s="143"/>
      <c r="X68" s="143"/>
      <c r="Y68" s="143"/>
      <c r="Z68" s="143"/>
      <c r="AA68" s="144"/>
      <c r="AB68" s="144"/>
      <c r="AC68" s="144"/>
      <c r="AD68" s="144"/>
      <c r="AE68" s="144"/>
      <c r="AF68" s="144"/>
      <c r="AG68" s="144"/>
      <c r="AH68" s="143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</row>
    <row r="69" spans="3:50">
      <c r="C69" s="207" t="s">
        <v>98</v>
      </c>
      <c r="D69" s="208"/>
      <c r="E69" s="208"/>
      <c r="F69" s="208"/>
      <c r="G69" s="208"/>
      <c r="H69" s="208"/>
      <c r="I69" s="208"/>
      <c r="J69" s="44"/>
      <c r="K69" s="117">
        <f t="shared" ca="1" si="11"/>
        <v>1E-4</v>
      </c>
      <c r="L69" s="55"/>
      <c r="M69" s="56" t="s">
        <v>4</v>
      </c>
      <c r="N69" s="83" t="s">
        <v>32</v>
      </c>
      <c r="O69" s="83"/>
      <c r="P69" s="83"/>
      <c r="Q69" s="83"/>
      <c r="R69" s="141"/>
      <c r="S69" s="59"/>
      <c r="T69" s="51">
        <f t="shared" si="12"/>
        <v>46015</v>
      </c>
      <c r="U69" s="142"/>
      <c r="V69" s="143"/>
      <c r="W69" s="143"/>
      <c r="X69" s="143"/>
      <c r="Y69" s="143"/>
      <c r="Z69" s="143"/>
      <c r="AA69" s="144"/>
      <c r="AB69" s="144"/>
      <c r="AC69" s="144"/>
      <c r="AD69" s="144"/>
      <c r="AE69" s="144"/>
      <c r="AF69" s="144"/>
      <c r="AG69" s="144"/>
      <c r="AH69" s="143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spans="3:50">
      <c r="C70" s="207" t="s">
        <v>99</v>
      </c>
      <c r="D70" s="208"/>
      <c r="E70" s="208"/>
      <c r="F70" s="208"/>
      <c r="G70" s="208"/>
      <c r="H70" s="208"/>
      <c r="I70" s="208"/>
      <c r="J70" s="44"/>
      <c r="K70" s="117">
        <f t="shared" ca="1" si="11"/>
        <v>1E-4</v>
      </c>
      <c r="L70" s="55"/>
      <c r="M70" s="56" t="s">
        <v>4</v>
      </c>
      <c r="N70" s="83"/>
      <c r="O70" s="83"/>
      <c r="P70" s="83"/>
      <c r="Q70" s="83"/>
      <c r="R70" s="141"/>
      <c r="S70" s="59"/>
      <c r="T70" s="51">
        <f t="shared" si="12"/>
        <v>46015</v>
      </c>
      <c r="U70" s="142"/>
      <c r="V70" s="143"/>
      <c r="W70" s="143"/>
      <c r="X70" s="143"/>
      <c r="Y70" s="143"/>
      <c r="Z70" s="143"/>
      <c r="AA70" s="144"/>
      <c r="AB70" s="144"/>
      <c r="AC70" s="144"/>
      <c r="AD70" s="144"/>
      <c r="AE70" s="144"/>
      <c r="AF70" s="144"/>
      <c r="AG70" s="144"/>
      <c r="AH70" s="143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</row>
    <row r="71" spans="3:50">
      <c r="C71" s="207" t="s">
        <v>100</v>
      </c>
      <c r="D71" s="208"/>
      <c r="E71" s="208"/>
      <c r="F71" s="208"/>
      <c r="G71" s="208"/>
      <c r="H71" s="208"/>
      <c r="I71" s="208"/>
      <c r="J71" s="44"/>
      <c r="K71" s="117">
        <f t="shared" ca="1" si="11"/>
        <v>1E-4</v>
      </c>
      <c r="L71" s="55"/>
      <c r="M71" s="56" t="s">
        <v>11</v>
      </c>
      <c r="N71" s="83" t="s">
        <v>14</v>
      </c>
      <c r="O71" s="83"/>
      <c r="P71" s="83"/>
      <c r="Q71" s="83"/>
      <c r="R71" s="141"/>
      <c r="S71" s="59"/>
      <c r="T71" s="51">
        <f t="shared" si="12"/>
        <v>46015</v>
      </c>
      <c r="U71" s="142"/>
      <c r="V71" s="143"/>
      <c r="W71" s="143"/>
      <c r="X71" s="143"/>
      <c r="Y71" s="143"/>
      <c r="Z71" s="143"/>
      <c r="AA71" s="144"/>
      <c r="AB71" s="144"/>
      <c r="AC71" s="144"/>
      <c r="AD71" s="144"/>
      <c r="AE71" s="144"/>
      <c r="AF71" s="144"/>
      <c r="AG71" s="144"/>
      <c r="AH71" s="143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spans="3:50">
      <c r="C72" s="207" t="s">
        <v>101</v>
      </c>
      <c r="D72" s="208"/>
      <c r="E72" s="208"/>
      <c r="F72" s="208"/>
      <c r="G72" s="208"/>
      <c r="H72" s="208"/>
      <c r="I72" s="208"/>
      <c r="J72" s="44"/>
      <c r="K72" s="45">
        <f t="shared" ca="1" si="11"/>
        <v>1E-4</v>
      </c>
      <c r="L72" s="55"/>
      <c r="M72" s="56" t="s">
        <v>4</v>
      </c>
      <c r="N72" s="83"/>
      <c r="O72" s="83"/>
      <c r="P72" s="83"/>
      <c r="Q72" s="83"/>
      <c r="R72" s="141"/>
      <c r="S72" s="59"/>
      <c r="T72" s="51">
        <f t="shared" si="12"/>
        <v>46015</v>
      </c>
      <c r="U72" s="142"/>
      <c r="V72" s="143"/>
      <c r="W72" s="143"/>
      <c r="X72" s="143"/>
      <c r="Y72" s="143"/>
      <c r="Z72" s="143"/>
      <c r="AA72" s="143"/>
      <c r="AB72" s="144"/>
      <c r="AC72" s="144"/>
      <c r="AD72" s="144"/>
      <c r="AE72" s="144"/>
      <c r="AF72" s="144"/>
      <c r="AG72" s="144"/>
      <c r="AH72" s="144"/>
      <c r="AI72" s="144"/>
      <c r="AJ72" s="143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spans="3:50">
      <c r="C73" s="207" t="s">
        <v>102</v>
      </c>
      <c r="D73" s="208"/>
      <c r="E73" s="208"/>
      <c r="F73" s="208"/>
      <c r="G73" s="208"/>
      <c r="H73" s="208"/>
      <c r="I73" s="208"/>
      <c r="J73" s="44"/>
      <c r="K73" s="45">
        <f t="shared" ca="1" si="11"/>
        <v>1E-4</v>
      </c>
      <c r="L73" s="55"/>
      <c r="M73" s="56" t="s">
        <v>4</v>
      </c>
      <c r="N73" s="83"/>
      <c r="O73" s="83"/>
      <c r="P73" s="83"/>
      <c r="Q73" s="83"/>
      <c r="R73" s="141"/>
      <c r="S73" s="59"/>
      <c r="T73" s="51">
        <f t="shared" si="12"/>
        <v>46015</v>
      </c>
      <c r="U73" s="142"/>
      <c r="V73" s="143"/>
      <c r="W73" s="143"/>
      <c r="X73" s="143"/>
      <c r="Y73" s="143"/>
      <c r="Z73" s="143"/>
      <c r="AA73" s="143"/>
      <c r="AB73" s="144"/>
      <c r="AC73" s="144"/>
      <c r="AD73" s="144"/>
      <c r="AE73" s="144"/>
      <c r="AF73" s="144"/>
      <c r="AG73" s="144"/>
      <c r="AH73" s="144"/>
      <c r="AI73" s="144"/>
      <c r="AJ73" s="143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spans="3:50" ht="15.75" thickBot="1">
      <c r="C74" s="234" t="s">
        <v>103</v>
      </c>
      <c r="D74" s="231"/>
      <c r="E74" s="231"/>
      <c r="F74" s="231"/>
      <c r="G74" s="231"/>
      <c r="H74" s="231"/>
      <c r="I74" s="231"/>
      <c r="J74" s="137"/>
      <c r="K74" s="45">
        <f t="shared" ca="1" si="11"/>
        <v>1E-4</v>
      </c>
      <c r="L74" s="132"/>
      <c r="M74" s="108" t="s">
        <v>4</v>
      </c>
      <c r="N74" s="109"/>
      <c r="O74" s="109"/>
      <c r="P74" s="109"/>
      <c r="Q74" s="109"/>
      <c r="R74" s="146"/>
      <c r="S74" s="147"/>
      <c r="T74" s="51">
        <f t="shared" si="12"/>
        <v>46015</v>
      </c>
      <c r="U74" s="142"/>
      <c r="V74" s="143"/>
      <c r="W74" s="143"/>
      <c r="X74" s="143"/>
      <c r="Y74" s="143"/>
      <c r="Z74" s="143"/>
      <c r="AA74" s="143"/>
      <c r="AB74" s="144"/>
      <c r="AC74" s="144"/>
      <c r="AD74" s="144"/>
      <c r="AE74" s="144"/>
      <c r="AF74" s="144"/>
      <c r="AG74" s="144"/>
      <c r="AH74" s="144"/>
      <c r="AI74" s="144"/>
      <c r="AJ74" s="143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spans="3:50" ht="15.75">
      <c r="C75" s="220">
        <f>$C$3+(D75*7)</f>
        <v>46029</v>
      </c>
      <c r="D75" s="222">
        <v>-12</v>
      </c>
      <c r="E75" s="224" t="s">
        <v>104</v>
      </c>
      <c r="F75" s="224"/>
      <c r="G75" s="224"/>
      <c r="H75" s="224"/>
      <c r="I75" s="225"/>
      <c r="J75" s="213">
        <f>SUM(J77:J89)/COUNTA(C77:I113)</f>
        <v>0</v>
      </c>
      <c r="K75" s="213">
        <f ca="1">AVERAGE(K77:K89)</f>
        <v>1.0000000000000003E-4</v>
      </c>
      <c r="L75" s="148"/>
      <c r="M75" s="111"/>
      <c r="N75" s="112"/>
      <c r="O75" s="112"/>
      <c r="P75" s="112"/>
      <c r="Q75" s="112"/>
      <c r="R75" s="113"/>
      <c r="S75" s="138"/>
      <c r="T75" s="115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</row>
    <row r="76" spans="3:50" ht="16.5" thickBot="1">
      <c r="C76" s="221"/>
      <c r="D76" s="223"/>
      <c r="E76" s="226" t="s">
        <v>105</v>
      </c>
      <c r="F76" s="226"/>
      <c r="G76" s="226"/>
      <c r="H76" s="226"/>
      <c r="I76" s="227"/>
      <c r="J76" s="214"/>
      <c r="K76" s="214"/>
      <c r="L76" s="149"/>
      <c r="M76" s="94"/>
      <c r="N76" s="95"/>
      <c r="O76" s="95"/>
      <c r="P76" s="95"/>
      <c r="Q76" s="95"/>
      <c r="R76" s="96"/>
      <c r="S76" s="139"/>
      <c r="T76" s="98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</row>
    <row r="77" spans="3:50">
      <c r="C77" s="233" t="s">
        <v>106</v>
      </c>
      <c r="D77" s="236"/>
      <c r="E77" s="236"/>
      <c r="F77" s="236"/>
      <c r="G77" s="236"/>
      <c r="H77" s="236"/>
      <c r="I77" s="237"/>
      <c r="J77" s="72"/>
      <c r="K77" s="73">
        <f t="shared" ref="K77:K89" ca="1" si="13">IF($C$75-$G$8&lt;0%,100%,0.01%)</f>
        <v>1E-4</v>
      </c>
      <c r="L77" s="118"/>
      <c r="M77" s="127" t="s">
        <v>11</v>
      </c>
      <c r="N77" s="128"/>
      <c r="O77" s="128"/>
      <c r="P77" s="128"/>
      <c r="Q77" s="128"/>
      <c r="R77" s="129"/>
      <c r="S77" s="130"/>
      <c r="T77" s="51">
        <f>$C$75+S77</f>
        <v>46029</v>
      </c>
      <c r="U77" s="102"/>
      <c r="V77" s="103"/>
      <c r="W77" s="103"/>
      <c r="X77" s="81"/>
      <c r="Y77" s="103"/>
      <c r="Z77" s="103"/>
      <c r="AA77" s="81"/>
      <c r="AB77" s="81"/>
      <c r="AC77" s="81"/>
      <c r="AD77" s="81"/>
      <c r="AE77" s="81"/>
      <c r="AF77" s="81"/>
      <c r="AG77" s="81"/>
      <c r="AH77" s="103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</row>
    <row r="78" spans="3:50">
      <c r="C78" s="207" t="s">
        <v>107</v>
      </c>
      <c r="D78" s="208"/>
      <c r="E78" s="208"/>
      <c r="F78" s="208"/>
      <c r="G78" s="208"/>
      <c r="H78" s="208"/>
      <c r="I78" s="209"/>
      <c r="J78" s="44"/>
      <c r="K78" s="45">
        <f t="shared" ca="1" si="13"/>
        <v>1E-4</v>
      </c>
      <c r="L78" s="55"/>
      <c r="M78" s="56" t="s">
        <v>4</v>
      </c>
      <c r="N78" s="57"/>
      <c r="O78" s="57"/>
      <c r="P78" s="57"/>
      <c r="Q78" s="57"/>
      <c r="R78" s="58"/>
      <c r="S78" s="59"/>
      <c r="T78" s="51">
        <f t="shared" ref="T78:T89" si="14">$C$75+S78</f>
        <v>46029</v>
      </c>
      <c r="U78" s="84"/>
      <c r="V78" s="85"/>
      <c r="W78" s="85"/>
      <c r="X78" s="53"/>
      <c r="Y78" s="85"/>
      <c r="Z78" s="85"/>
      <c r="AA78" s="53"/>
      <c r="AB78" s="53"/>
      <c r="AC78" s="53"/>
      <c r="AD78" s="53"/>
      <c r="AE78" s="53"/>
      <c r="AF78" s="53"/>
      <c r="AG78" s="53"/>
      <c r="AH78" s="85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</row>
    <row r="79" spans="3:50">
      <c r="C79" s="207" t="s">
        <v>108</v>
      </c>
      <c r="D79" s="208"/>
      <c r="E79" s="208"/>
      <c r="F79" s="208"/>
      <c r="G79" s="208"/>
      <c r="H79" s="208"/>
      <c r="I79" s="209"/>
      <c r="J79" s="44"/>
      <c r="K79" s="45">
        <f t="shared" ca="1" si="13"/>
        <v>1E-4</v>
      </c>
      <c r="L79" s="55"/>
      <c r="M79" s="56" t="s">
        <v>4</v>
      </c>
      <c r="N79" s="57"/>
      <c r="O79" s="57"/>
      <c r="P79" s="57"/>
      <c r="Q79" s="57"/>
      <c r="R79" s="58"/>
      <c r="S79" s="59"/>
      <c r="T79" s="51">
        <f t="shared" si="14"/>
        <v>46029</v>
      </c>
      <c r="U79" s="84"/>
      <c r="V79" s="85"/>
      <c r="W79" s="85"/>
      <c r="X79" s="53"/>
      <c r="Y79" s="85"/>
      <c r="Z79" s="85"/>
      <c r="AA79" s="53"/>
      <c r="AB79" s="53"/>
      <c r="AC79" s="53"/>
      <c r="AD79" s="53"/>
      <c r="AE79" s="53"/>
      <c r="AF79" s="53"/>
      <c r="AG79" s="53"/>
      <c r="AH79" s="85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</row>
    <row r="80" spans="3:50">
      <c r="C80" s="207" t="s">
        <v>109</v>
      </c>
      <c r="D80" s="208"/>
      <c r="E80" s="208"/>
      <c r="F80" s="208"/>
      <c r="G80" s="208"/>
      <c r="H80" s="208"/>
      <c r="I80" s="209"/>
      <c r="J80" s="44"/>
      <c r="K80" s="45">
        <f t="shared" ca="1" si="13"/>
        <v>1E-4</v>
      </c>
      <c r="L80" s="55"/>
      <c r="M80" s="56" t="s">
        <v>4</v>
      </c>
      <c r="N80" s="57"/>
      <c r="O80" s="57"/>
      <c r="P80" s="57"/>
      <c r="Q80" s="57"/>
      <c r="R80" s="58"/>
      <c r="S80" s="59"/>
      <c r="T80" s="51">
        <f t="shared" si="14"/>
        <v>46029</v>
      </c>
      <c r="U80" s="84"/>
      <c r="V80" s="85"/>
      <c r="W80" s="85"/>
      <c r="X80" s="53"/>
      <c r="Y80" s="85"/>
      <c r="Z80" s="85"/>
      <c r="AA80" s="53"/>
      <c r="AB80" s="53"/>
      <c r="AC80" s="53"/>
      <c r="AD80" s="53"/>
      <c r="AE80" s="53"/>
      <c r="AF80" s="53"/>
      <c r="AG80" s="53"/>
      <c r="AH80" s="85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</row>
    <row r="81" spans="3:50">
      <c r="C81" s="207" t="s">
        <v>110</v>
      </c>
      <c r="D81" s="208"/>
      <c r="E81" s="208"/>
      <c r="F81" s="208"/>
      <c r="G81" s="208"/>
      <c r="H81" s="208"/>
      <c r="I81" s="209"/>
      <c r="J81" s="44"/>
      <c r="K81" s="45">
        <f t="shared" ca="1" si="13"/>
        <v>1E-4</v>
      </c>
      <c r="L81" s="55"/>
      <c r="M81" s="56" t="s">
        <v>4</v>
      </c>
      <c r="N81" s="57"/>
      <c r="O81" s="57"/>
      <c r="P81" s="57"/>
      <c r="Q81" s="57"/>
      <c r="R81" s="58"/>
      <c r="S81" s="59"/>
      <c r="T81" s="51">
        <f t="shared" si="14"/>
        <v>46029</v>
      </c>
      <c r="U81" s="84"/>
      <c r="V81" s="85"/>
      <c r="W81" s="85"/>
      <c r="X81" s="53"/>
      <c r="Y81" s="85"/>
      <c r="Z81" s="85"/>
      <c r="AA81" s="150"/>
      <c r="AB81" s="53"/>
      <c r="AC81" s="53"/>
      <c r="AD81" s="53"/>
      <c r="AE81" s="53"/>
      <c r="AF81" s="53"/>
      <c r="AG81" s="53"/>
      <c r="AH81" s="85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</row>
    <row r="82" spans="3:50">
      <c r="C82" s="207" t="s">
        <v>111</v>
      </c>
      <c r="D82" s="208"/>
      <c r="E82" s="208"/>
      <c r="F82" s="208"/>
      <c r="G82" s="208"/>
      <c r="H82" s="208"/>
      <c r="I82" s="209"/>
      <c r="J82" s="44"/>
      <c r="K82" s="45">
        <f t="shared" ca="1" si="13"/>
        <v>1E-4</v>
      </c>
      <c r="L82" s="55"/>
      <c r="M82" s="56" t="s">
        <v>4</v>
      </c>
      <c r="N82" s="57"/>
      <c r="O82" s="57"/>
      <c r="P82" s="57"/>
      <c r="Q82" s="57"/>
      <c r="R82" s="58"/>
      <c r="S82" s="59"/>
      <c r="T82" s="51">
        <f t="shared" si="14"/>
        <v>46029</v>
      </c>
      <c r="U82" s="84"/>
      <c r="V82" s="85"/>
      <c r="W82" s="85"/>
      <c r="X82" s="53"/>
      <c r="Y82" s="85"/>
      <c r="Z82" s="85"/>
      <c r="AA82" s="150"/>
      <c r="AB82" s="53"/>
      <c r="AC82" s="53"/>
      <c r="AD82" s="53"/>
      <c r="AE82" s="53"/>
      <c r="AF82" s="53"/>
      <c r="AG82" s="53"/>
      <c r="AH82" s="85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</row>
    <row r="83" spans="3:50">
      <c r="C83" s="207" t="s">
        <v>112</v>
      </c>
      <c r="D83" s="208"/>
      <c r="E83" s="208"/>
      <c r="F83" s="208"/>
      <c r="G83" s="208"/>
      <c r="H83" s="208"/>
      <c r="I83" s="209"/>
      <c r="J83" s="44"/>
      <c r="K83" s="45">
        <f t="shared" ca="1" si="13"/>
        <v>1E-4</v>
      </c>
      <c r="L83" s="55"/>
      <c r="M83" s="56" t="s">
        <v>4</v>
      </c>
      <c r="N83" s="57"/>
      <c r="O83" s="57"/>
      <c r="P83" s="57"/>
      <c r="Q83" s="57"/>
      <c r="R83" s="58"/>
      <c r="S83" s="59"/>
      <c r="T83" s="51">
        <f t="shared" si="14"/>
        <v>46029</v>
      </c>
      <c r="U83" s="84"/>
      <c r="V83" s="85"/>
      <c r="W83" s="85"/>
      <c r="X83" s="53"/>
      <c r="Y83" s="85"/>
      <c r="Z83" s="85"/>
      <c r="AA83" s="53"/>
      <c r="AB83" s="53"/>
      <c r="AC83" s="53"/>
      <c r="AD83" s="53"/>
      <c r="AE83" s="53"/>
      <c r="AF83" s="53"/>
      <c r="AG83" s="53"/>
      <c r="AH83" s="85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</row>
    <row r="84" spans="3:50">
      <c r="C84" s="207" t="s">
        <v>113</v>
      </c>
      <c r="D84" s="208"/>
      <c r="E84" s="208"/>
      <c r="F84" s="208"/>
      <c r="G84" s="208"/>
      <c r="H84" s="208"/>
      <c r="I84" s="209"/>
      <c r="J84" s="44"/>
      <c r="K84" s="45">
        <f t="shared" ca="1" si="13"/>
        <v>1E-4</v>
      </c>
      <c r="L84" s="55"/>
      <c r="M84" s="56" t="s">
        <v>4</v>
      </c>
      <c r="N84" s="57"/>
      <c r="O84" s="57"/>
      <c r="P84" s="57"/>
      <c r="Q84" s="57"/>
      <c r="R84" s="58"/>
      <c r="S84" s="59"/>
      <c r="T84" s="51">
        <f t="shared" si="14"/>
        <v>46029</v>
      </c>
      <c r="U84" s="84"/>
      <c r="V84" s="85"/>
      <c r="W84" s="85"/>
      <c r="X84" s="53"/>
      <c r="Y84" s="85"/>
      <c r="Z84" s="85"/>
      <c r="AA84" s="53"/>
      <c r="AB84" s="53"/>
      <c r="AC84" s="53"/>
      <c r="AD84" s="53"/>
      <c r="AE84" s="53"/>
      <c r="AF84" s="53"/>
      <c r="AG84" s="53"/>
      <c r="AH84" s="85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</row>
    <row r="85" spans="3:50">
      <c r="C85" s="207" t="s">
        <v>114</v>
      </c>
      <c r="D85" s="208"/>
      <c r="E85" s="208"/>
      <c r="F85" s="208"/>
      <c r="G85" s="208"/>
      <c r="H85" s="208"/>
      <c r="I85" s="209"/>
      <c r="J85" s="44"/>
      <c r="K85" s="45">
        <f t="shared" ca="1" si="13"/>
        <v>1E-4</v>
      </c>
      <c r="L85" s="55"/>
      <c r="M85" s="56" t="s">
        <v>4</v>
      </c>
      <c r="N85" s="57"/>
      <c r="O85" s="57"/>
      <c r="P85" s="57"/>
      <c r="Q85" s="57"/>
      <c r="R85" s="58"/>
      <c r="S85" s="59"/>
      <c r="T85" s="51">
        <f t="shared" si="14"/>
        <v>46029</v>
      </c>
      <c r="U85" s="52"/>
      <c r="V85" s="53"/>
      <c r="W85" s="85"/>
      <c r="X85" s="53"/>
      <c r="Y85" s="85"/>
      <c r="Z85" s="85"/>
      <c r="AA85" s="53"/>
      <c r="AB85" s="53"/>
      <c r="AC85" s="53"/>
      <c r="AD85" s="53"/>
      <c r="AE85" s="53"/>
      <c r="AF85" s="53"/>
      <c r="AG85" s="53"/>
      <c r="AH85" s="85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</row>
    <row r="86" spans="3:50">
      <c r="C86" s="207" t="s">
        <v>115</v>
      </c>
      <c r="D86" s="208"/>
      <c r="E86" s="208"/>
      <c r="F86" s="208"/>
      <c r="G86" s="208"/>
      <c r="H86" s="208"/>
      <c r="I86" s="209"/>
      <c r="J86" s="44"/>
      <c r="K86" s="45">
        <f t="shared" ca="1" si="13"/>
        <v>1E-4</v>
      </c>
      <c r="L86" s="55"/>
      <c r="M86" s="56" t="s">
        <v>4</v>
      </c>
      <c r="N86" s="57"/>
      <c r="O86" s="57"/>
      <c r="P86" s="57"/>
      <c r="Q86" s="57"/>
      <c r="R86" s="58"/>
      <c r="S86" s="59"/>
      <c r="T86" s="51">
        <f t="shared" si="14"/>
        <v>46029</v>
      </c>
      <c r="U86" s="84"/>
      <c r="V86" s="85"/>
      <c r="W86" s="85"/>
      <c r="X86" s="53"/>
      <c r="Y86" s="85"/>
      <c r="Z86" s="85"/>
      <c r="AA86" s="53"/>
      <c r="AB86" s="53"/>
      <c r="AC86" s="53"/>
      <c r="AD86" s="53"/>
      <c r="AE86" s="53"/>
      <c r="AF86" s="53"/>
      <c r="AG86" s="53"/>
      <c r="AH86" s="85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</row>
    <row r="87" spans="3:50">
      <c r="C87" s="207" t="s">
        <v>116</v>
      </c>
      <c r="D87" s="208"/>
      <c r="E87" s="208"/>
      <c r="F87" s="208"/>
      <c r="G87" s="208"/>
      <c r="H87" s="208"/>
      <c r="I87" s="209"/>
      <c r="J87" s="44"/>
      <c r="K87" s="45">
        <f t="shared" ca="1" si="13"/>
        <v>1E-4</v>
      </c>
      <c r="L87" s="55"/>
      <c r="M87" s="56" t="s">
        <v>4</v>
      </c>
      <c r="N87" s="57"/>
      <c r="O87" s="57"/>
      <c r="P87" s="57"/>
      <c r="Q87" s="57"/>
      <c r="R87" s="58"/>
      <c r="S87" s="59"/>
      <c r="T87" s="51">
        <f t="shared" si="14"/>
        <v>46029</v>
      </c>
      <c r="U87" s="84"/>
      <c r="V87" s="85"/>
      <c r="W87" s="85"/>
      <c r="X87" s="53"/>
      <c r="Y87" s="85"/>
      <c r="Z87" s="85"/>
      <c r="AA87" s="53"/>
      <c r="AB87" s="53"/>
      <c r="AC87" s="53"/>
      <c r="AD87" s="53"/>
      <c r="AE87" s="53"/>
      <c r="AF87" s="53"/>
      <c r="AG87" s="53"/>
      <c r="AH87" s="85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</row>
    <row r="88" spans="3:50">
      <c r="C88" s="207" t="s">
        <v>117</v>
      </c>
      <c r="D88" s="208"/>
      <c r="E88" s="208"/>
      <c r="F88" s="208"/>
      <c r="G88" s="208"/>
      <c r="H88" s="208"/>
      <c r="I88" s="209"/>
      <c r="J88" s="131"/>
      <c r="K88" s="45">
        <f t="shared" ca="1" si="13"/>
        <v>1E-4</v>
      </c>
      <c r="L88" s="132"/>
      <c r="M88" s="125" t="s">
        <v>4</v>
      </c>
      <c r="N88" s="151"/>
      <c r="O88" s="151"/>
      <c r="P88" s="151"/>
      <c r="Q88" s="151"/>
      <c r="R88" s="87"/>
      <c r="S88" s="133"/>
      <c r="T88" s="51">
        <f t="shared" si="14"/>
        <v>46029</v>
      </c>
      <c r="U88" s="134"/>
      <c r="V88" s="135"/>
      <c r="W88" s="135"/>
      <c r="X88" s="136"/>
      <c r="Y88" s="135"/>
      <c r="Z88" s="135"/>
      <c r="AA88" s="136"/>
      <c r="AB88" s="136"/>
      <c r="AC88" s="136"/>
      <c r="AD88" s="136"/>
      <c r="AE88" s="136"/>
      <c r="AF88" s="136"/>
      <c r="AG88" s="136"/>
      <c r="AH88" s="135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</row>
    <row r="89" spans="3:50" ht="23.25" thickBot="1">
      <c r="C89" s="207" t="s">
        <v>118</v>
      </c>
      <c r="D89" s="208"/>
      <c r="E89" s="208"/>
      <c r="F89" s="208"/>
      <c r="G89" s="208"/>
      <c r="H89" s="208"/>
      <c r="I89" s="209"/>
      <c r="J89" s="131"/>
      <c r="K89" s="45">
        <f t="shared" ca="1" si="13"/>
        <v>1E-4</v>
      </c>
      <c r="L89" s="132"/>
      <c r="M89" s="125" t="s">
        <v>4</v>
      </c>
      <c r="N89" s="151" t="s">
        <v>37</v>
      </c>
      <c r="O89" s="151"/>
      <c r="P89" s="151"/>
      <c r="Q89" s="151"/>
      <c r="R89" s="87"/>
      <c r="S89" s="133"/>
      <c r="T89" s="51">
        <f t="shared" si="14"/>
        <v>46029</v>
      </c>
      <c r="U89" s="134"/>
      <c r="V89" s="135"/>
      <c r="W89" s="135"/>
      <c r="X89" s="136"/>
      <c r="Y89" s="135"/>
      <c r="Z89" s="135"/>
      <c r="AA89" s="136"/>
      <c r="AB89" s="136"/>
      <c r="AC89" s="136"/>
      <c r="AD89" s="136"/>
      <c r="AE89" s="136"/>
      <c r="AF89" s="136"/>
      <c r="AG89" s="136"/>
      <c r="AH89" s="135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</row>
    <row r="90" spans="3:50" ht="15.75">
      <c r="C90" s="220">
        <f>$C$3+(D90*7)</f>
        <v>46043</v>
      </c>
      <c r="D90" s="222">
        <v>-10</v>
      </c>
      <c r="E90" s="224" t="s">
        <v>40</v>
      </c>
      <c r="F90" s="224"/>
      <c r="G90" s="224"/>
      <c r="H90" s="224"/>
      <c r="I90" s="225"/>
      <c r="J90" s="213">
        <f>SUM(J98)/COUNTA(C98)</f>
        <v>0</v>
      </c>
      <c r="K90" s="213">
        <f ca="1">AVERAGE(K98:K98)</f>
        <v>1E-4</v>
      </c>
      <c r="L90" s="40"/>
      <c r="M90" s="111"/>
      <c r="N90" s="112"/>
      <c r="O90" s="112"/>
      <c r="P90" s="112"/>
      <c r="Q90" s="112"/>
      <c r="R90" s="113"/>
      <c r="S90" s="138"/>
      <c r="T90" s="115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</row>
    <row r="91" spans="3:50" ht="16.5" thickBot="1">
      <c r="C91" s="221"/>
      <c r="D91" s="223"/>
      <c r="E91" s="226" t="s">
        <v>119</v>
      </c>
      <c r="F91" s="226"/>
      <c r="G91" s="226"/>
      <c r="H91" s="226"/>
      <c r="I91" s="227"/>
      <c r="J91" s="214"/>
      <c r="K91" s="214"/>
      <c r="L91" s="42"/>
      <c r="M91" s="94"/>
      <c r="N91" s="95"/>
      <c r="O91" s="95"/>
      <c r="P91" s="95"/>
      <c r="Q91" s="95"/>
      <c r="R91" s="96"/>
      <c r="S91" s="139"/>
      <c r="T91" s="98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</row>
    <row r="92" spans="3:50">
      <c r="C92" s="217" t="s">
        <v>120</v>
      </c>
      <c r="D92" s="218"/>
      <c r="E92" s="218"/>
      <c r="F92" s="218"/>
      <c r="G92" s="218"/>
      <c r="H92" s="218"/>
      <c r="I92" s="219"/>
      <c r="J92" s="73"/>
      <c r="K92" s="73">
        <f ca="1">IF($C$90-$G$8&lt;0%,100%,0.01%)</f>
        <v>1E-4</v>
      </c>
      <c r="L92" s="55"/>
      <c r="M92" s="56" t="s">
        <v>4</v>
      </c>
      <c r="N92" s="57"/>
      <c r="O92" s="57"/>
      <c r="P92" s="57"/>
      <c r="Q92" s="57"/>
      <c r="R92" s="58"/>
      <c r="S92" s="59"/>
      <c r="T92" s="51">
        <f>$C$90+S92</f>
        <v>46043</v>
      </c>
      <c r="U92" s="84"/>
      <c r="V92" s="85"/>
      <c r="W92" s="85"/>
      <c r="X92" s="85"/>
      <c r="Y92" s="85"/>
      <c r="Z92" s="85"/>
      <c r="AA92" s="53"/>
      <c r="AB92" s="53"/>
      <c r="AC92" s="53"/>
      <c r="AD92" s="53"/>
      <c r="AE92" s="53"/>
      <c r="AF92" s="53"/>
      <c r="AG92" s="53"/>
      <c r="AH92" s="85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</row>
    <row r="93" spans="3:50">
      <c r="C93" s="207" t="s">
        <v>121</v>
      </c>
      <c r="D93" s="208"/>
      <c r="E93" s="208"/>
      <c r="F93" s="208"/>
      <c r="G93" s="208"/>
      <c r="H93" s="208"/>
      <c r="I93" s="209"/>
      <c r="J93" s="45"/>
      <c r="K93" s="45">
        <f ca="1">IF($C$119-$G$8&lt;0%,100%,0.01%)</f>
        <v>1E-4</v>
      </c>
      <c r="L93" s="55"/>
      <c r="M93" s="56" t="s">
        <v>4</v>
      </c>
      <c r="N93" s="57"/>
      <c r="O93" s="57"/>
      <c r="P93" s="57"/>
      <c r="Q93" s="57"/>
      <c r="R93" s="58"/>
      <c r="S93" s="59"/>
      <c r="T93" s="51">
        <f t="shared" ref="T93:T98" si="15">$C$90+S93</f>
        <v>46043</v>
      </c>
      <c r="U93" s="84"/>
      <c r="V93" s="85"/>
      <c r="W93" s="85"/>
      <c r="X93" s="85"/>
      <c r="Y93" s="85"/>
      <c r="Z93" s="85"/>
      <c r="AA93" s="53"/>
      <c r="AB93" s="53"/>
      <c r="AC93" s="53"/>
      <c r="AD93" s="53"/>
      <c r="AE93" s="53"/>
      <c r="AF93" s="53"/>
      <c r="AG93" s="53"/>
      <c r="AH93" s="85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</row>
    <row r="94" spans="3:50">
      <c r="C94" s="207" t="s">
        <v>122</v>
      </c>
      <c r="D94" s="208"/>
      <c r="E94" s="208"/>
      <c r="F94" s="208"/>
      <c r="G94" s="208"/>
      <c r="H94" s="208"/>
      <c r="I94" s="209"/>
      <c r="J94" s="44"/>
      <c r="K94" s="45">
        <f ca="1">IF($C$119-$G$8&lt;0%,100%,0.01%)</f>
        <v>1E-4</v>
      </c>
      <c r="L94" s="55"/>
      <c r="M94" s="56" t="s">
        <v>4</v>
      </c>
      <c r="N94" s="57"/>
      <c r="O94" s="57"/>
      <c r="P94" s="57"/>
      <c r="Q94" s="57"/>
      <c r="R94" s="58"/>
      <c r="S94" s="59"/>
      <c r="T94" s="51">
        <f t="shared" si="15"/>
        <v>46043</v>
      </c>
      <c r="U94" s="84"/>
      <c r="V94" s="85"/>
      <c r="W94" s="85"/>
      <c r="X94" s="85"/>
      <c r="Y94" s="85"/>
      <c r="Z94" s="85"/>
      <c r="AA94" s="53"/>
      <c r="AB94" s="53"/>
      <c r="AC94" s="53"/>
      <c r="AD94" s="53"/>
      <c r="AE94" s="53"/>
      <c r="AF94" s="53"/>
      <c r="AG94" s="53"/>
      <c r="AH94" s="85"/>
      <c r="AI94" s="53"/>
      <c r="AJ94" s="53"/>
      <c r="AK94" s="53"/>
      <c r="AL94" s="53"/>
      <c r="AM94" s="53"/>
      <c r="AN94" s="54"/>
      <c r="AO94" s="53"/>
      <c r="AP94" s="53"/>
      <c r="AQ94" s="53"/>
      <c r="AR94" s="53"/>
      <c r="AS94" s="53"/>
      <c r="AT94" s="53"/>
      <c r="AU94" s="53"/>
      <c r="AV94" s="53"/>
      <c r="AW94" s="53"/>
      <c r="AX94" s="53"/>
    </row>
    <row r="95" spans="3:50">
      <c r="C95" s="207" t="s">
        <v>123</v>
      </c>
      <c r="D95" s="208"/>
      <c r="E95" s="208"/>
      <c r="F95" s="208"/>
      <c r="G95" s="208"/>
      <c r="H95" s="208"/>
      <c r="I95" s="209"/>
      <c r="J95" s="45"/>
      <c r="K95" s="45">
        <f ca="1">IF($C$90-$G$8&lt;0%,100%,0.01%)</f>
        <v>1E-4</v>
      </c>
      <c r="L95" s="132"/>
      <c r="M95" s="56" t="s">
        <v>4</v>
      </c>
      <c r="N95" s="151"/>
      <c r="O95" s="151"/>
      <c r="P95" s="151"/>
      <c r="Q95" s="151"/>
      <c r="R95" s="87"/>
      <c r="S95" s="133"/>
      <c r="T95" s="51">
        <f t="shared" si="15"/>
        <v>46043</v>
      </c>
      <c r="U95" s="134"/>
      <c r="V95" s="135"/>
      <c r="W95" s="135"/>
      <c r="X95" s="136"/>
      <c r="Y95" s="135"/>
      <c r="Z95" s="135"/>
      <c r="AA95" s="136"/>
      <c r="AB95" s="136"/>
      <c r="AC95" s="136"/>
      <c r="AD95" s="136"/>
      <c r="AE95" s="136"/>
      <c r="AF95" s="136"/>
      <c r="AG95" s="136"/>
      <c r="AH95" s="135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</row>
    <row r="96" spans="3:50">
      <c r="C96" s="228" t="s">
        <v>124</v>
      </c>
      <c r="D96" s="208"/>
      <c r="E96" s="208"/>
      <c r="F96" s="208"/>
      <c r="G96" s="208"/>
      <c r="H96" s="208"/>
      <c r="I96" s="209"/>
      <c r="J96" s="45"/>
      <c r="K96" s="45">
        <f ca="1">IF($C$90-$G$8&lt;0%,100%,0.01%)</f>
        <v>1E-4</v>
      </c>
      <c r="L96" s="132"/>
      <c r="M96" s="56" t="s">
        <v>4</v>
      </c>
      <c r="N96" s="151"/>
      <c r="O96" s="151"/>
      <c r="P96" s="151"/>
      <c r="Q96" s="151"/>
      <c r="R96" s="87"/>
      <c r="S96" s="133"/>
      <c r="T96" s="51">
        <f t="shared" si="15"/>
        <v>46043</v>
      </c>
      <c r="U96" s="134"/>
      <c r="V96" s="135"/>
      <c r="W96" s="135"/>
      <c r="X96" s="136"/>
      <c r="Y96" s="135"/>
      <c r="Z96" s="135"/>
      <c r="AA96" s="136"/>
      <c r="AB96" s="136"/>
      <c r="AC96" s="136"/>
      <c r="AD96" s="136"/>
      <c r="AE96" s="136"/>
      <c r="AF96" s="136"/>
      <c r="AG96" s="136"/>
      <c r="AH96" s="135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</row>
    <row r="97" spans="3:50">
      <c r="C97" s="228" t="s">
        <v>125</v>
      </c>
      <c r="D97" s="208"/>
      <c r="E97" s="208"/>
      <c r="F97" s="208"/>
      <c r="G97" s="208"/>
      <c r="H97" s="208"/>
      <c r="I97" s="209"/>
      <c r="J97" s="45"/>
      <c r="K97" s="45">
        <f t="shared" ref="K97:K98" ca="1" si="16">IF($C$90-$G$8&lt;0%,100%,0.01%)</f>
        <v>1E-4</v>
      </c>
      <c r="L97" s="132"/>
      <c r="M97" s="56" t="s">
        <v>4</v>
      </c>
      <c r="N97" s="151"/>
      <c r="O97" s="151"/>
      <c r="P97" s="151"/>
      <c r="Q97" s="151"/>
      <c r="R97" s="87"/>
      <c r="S97" s="133"/>
      <c r="T97" s="51">
        <f t="shared" si="15"/>
        <v>46043</v>
      </c>
      <c r="U97" s="134"/>
      <c r="V97" s="135"/>
      <c r="W97" s="135"/>
      <c r="X97" s="136"/>
      <c r="Y97" s="135"/>
      <c r="Z97" s="135"/>
      <c r="AA97" s="136"/>
      <c r="AB97" s="136"/>
      <c r="AC97" s="136"/>
      <c r="AD97" s="136"/>
      <c r="AE97" s="136"/>
      <c r="AF97" s="136"/>
      <c r="AG97" s="136"/>
      <c r="AH97" s="135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</row>
    <row r="98" spans="3:50" ht="15.75" thickBot="1">
      <c r="C98" s="210" t="s">
        <v>126</v>
      </c>
      <c r="D98" s="211"/>
      <c r="E98" s="211"/>
      <c r="F98" s="211"/>
      <c r="G98" s="211"/>
      <c r="H98" s="211"/>
      <c r="I98" s="212"/>
      <c r="J98" s="152"/>
      <c r="K98" s="45">
        <f t="shared" ca="1" si="16"/>
        <v>1E-4</v>
      </c>
      <c r="L98" s="153"/>
      <c r="M98" s="56" t="s">
        <v>4</v>
      </c>
      <c r="N98" s="83"/>
      <c r="O98" s="83"/>
      <c r="P98" s="83"/>
      <c r="Q98" s="83"/>
      <c r="R98" s="83"/>
      <c r="S98" s="154"/>
      <c r="T98" s="51">
        <f t="shared" si="15"/>
        <v>46043</v>
      </c>
      <c r="U98" s="85"/>
      <c r="V98" s="85"/>
      <c r="W98" s="85"/>
      <c r="X98" s="53"/>
      <c r="Y98" s="85"/>
      <c r="Z98" s="85"/>
      <c r="AA98" s="53"/>
      <c r="AB98" s="53"/>
      <c r="AC98" s="53"/>
      <c r="AD98" s="53"/>
      <c r="AE98" s="53"/>
      <c r="AF98" s="53"/>
      <c r="AG98" s="53"/>
      <c r="AH98" s="85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</row>
    <row r="99" spans="3:50" ht="15.75">
      <c r="C99" s="220">
        <f>$C$3+(D99*7)</f>
        <v>46057</v>
      </c>
      <c r="D99" s="222">
        <v>-8</v>
      </c>
      <c r="E99" s="224" t="s">
        <v>40</v>
      </c>
      <c r="F99" s="224"/>
      <c r="G99" s="224"/>
      <c r="H99" s="224"/>
      <c r="I99" s="225"/>
      <c r="J99" s="213">
        <f>SUM(J101:J114)/COUNTA(C101:I114)</f>
        <v>0</v>
      </c>
      <c r="K99" s="213">
        <f ca="1">AVERAGE(K101:K114)</f>
        <v>1.0000000000000003E-4</v>
      </c>
      <c r="L99" s="65"/>
      <c r="M99" s="66"/>
      <c r="N99" s="67"/>
      <c r="O99" s="67"/>
      <c r="P99" s="67"/>
      <c r="Q99" s="67"/>
      <c r="R99" s="68"/>
      <c r="S99" s="69"/>
      <c r="T99" s="70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</row>
    <row r="100" spans="3:50" ht="16.5" thickBot="1">
      <c r="C100" s="221"/>
      <c r="D100" s="223"/>
      <c r="E100" s="226" t="s">
        <v>127</v>
      </c>
      <c r="F100" s="226"/>
      <c r="G100" s="226"/>
      <c r="H100" s="226"/>
      <c r="I100" s="227"/>
      <c r="J100" s="214"/>
      <c r="K100" s="214"/>
      <c r="L100" s="42"/>
      <c r="M100" s="94"/>
      <c r="N100" s="95"/>
      <c r="O100" s="95"/>
      <c r="P100" s="95"/>
      <c r="Q100" s="95"/>
      <c r="R100" s="96"/>
      <c r="S100" s="139"/>
      <c r="T100" s="98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</row>
    <row r="101" spans="3:50">
      <c r="C101" s="217" t="s">
        <v>128</v>
      </c>
      <c r="D101" s="218"/>
      <c r="E101" s="218"/>
      <c r="F101" s="218"/>
      <c r="G101" s="218"/>
      <c r="H101" s="218"/>
      <c r="I101" s="219"/>
      <c r="J101" s="72"/>
      <c r="K101" s="73">
        <f t="shared" ref="K101:K114" ca="1" si="17">IF($C$99-$G$8&lt;0%,100%,0.01%)</f>
        <v>1E-4</v>
      </c>
      <c r="L101" s="100"/>
      <c r="M101" s="75" t="s">
        <v>4</v>
      </c>
      <c r="N101" s="76" t="s">
        <v>14</v>
      </c>
      <c r="O101" s="76"/>
      <c r="P101" s="76"/>
      <c r="Q101" s="76"/>
      <c r="R101" s="77"/>
      <c r="S101" s="78"/>
      <c r="T101" s="51">
        <f>$C$99+S101</f>
        <v>46057</v>
      </c>
      <c r="U101" s="102"/>
      <c r="V101" s="103"/>
      <c r="W101" s="103"/>
      <c r="X101" s="81"/>
      <c r="Y101" s="103"/>
      <c r="Z101" s="103"/>
      <c r="AA101" s="81"/>
      <c r="AB101" s="81"/>
      <c r="AC101" s="81"/>
      <c r="AD101" s="81"/>
      <c r="AE101" s="81"/>
      <c r="AF101" s="81"/>
      <c r="AG101" s="81"/>
      <c r="AH101" s="103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</row>
    <row r="102" spans="3:50">
      <c r="C102" s="207" t="s">
        <v>129</v>
      </c>
      <c r="D102" s="208"/>
      <c r="E102" s="208"/>
      <c r="F102" s="208"/>
      <c r="G102" s="208"/>
      <c r="H102" s="208"/>
      <c r="I102" s="209"/>
      <c r="J102" s="44"/>
      <c r="K102" s="45">
        <f t="shared" ca="1" si="17"/>
        <v>1E-4</v>
      </c>
      <c r="L102" s="55"/>
      <c r="M102" s="56" t="s">
        <v>4</v>
      </c>
      <c r="N102" s="57"/>
      <c r="O102" s="57"/>
      <c r="P102" s="57"/>
      <c r="Q102" s="57"/>
      <c r="R102" s="58"/>
      <c r="S102" s="59"/>
      <c r="T102" s="51">
        <f t="shared" ref="T102:T114" si="18">$C$99+S102</f>
        <v>46057</v>
      </c>
      <c r="U102" s="84"/>
      <c r="V102" s="85"/>
      <c r="W102" s="85"/>
      <c r="X102" s="53"/>
      <c r="Y102" s="85"/>
      <c r="Z102" s="85"/>
      <c r="AA102" s="53"/>
      <c r="AB102" s="53"/>
      <c r="AC102" s="53"/>
      <c r="AD102" s="53"/>
      <c r="AE102" s="53"/>
      <c r="AF102" s="53"/>
      <c r="AG102" s="53"/>
      <c r="AH102" s="85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</row>
    <row r="103" spans="3:50">
      <c r="C103" s="207" t="s">
        <v>130</v>
      </c>
      <c r="D103" s="208"/>
      <c r="E103" s="208"/>
      <c r="F103" s="208"/>
      <c r="G103" s="208"/>
      <c r="H103" s="208"/>
      <c r="I103" s="209"/>
      <c r="J103" s="44"/>
      <c r="K103" s="45">
        <f t="shared" ca="1" si="17"/>
        <v>1E-4</v>
      </c>
      <c r="L103" s="61"/>
      <c r="M103" s="56" t="s">
        <v>4</v>
      </c>
      <c r="N103" s="63"/>
      <c r="O103" s="63"/>
      <c r="P103" s="63"/>
      <c r="Q103" s="63"/>
      <c r="R103" s="64"/>
      <c r="S103" s="59"/>
      <c r="T103" s="51">
        <f t="shared" si="18"/>
        <v>46057</v>
      </c>
      <c r="U103" s="52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</row>
    <row r="104" spans="3:50">
      <c r="C104" s="207" t="s">
        <v>131</v>
      </c>
      <c r="D104" s="208"/>
      <c r="E104" s="208"/>
      <c r="F104" s="208"/>
      <c r="G104" s="208"/>
      <c r="H104" s="208"/>
      <c r="I104" s="209"/>
      <c r="J104" s="44"/>
      <c r="K104" s="45">
        <f t="shared" ca="1" si="17"/>
        <v>1E-4</v>
      </c>
      <c r="L104" s="61"/>
      <c r="M104" s="56" t="s">
        <v>4</v>
      </c>
      <c r="N104" s="63"/>
      <c r="O104" s="63"/>
      <c r="P104" s="63"/>
      <c r="Q104" s="63"/>
      <c r="R104" s="64"/>
      <c r="S104" s="59"/>
      <c r="T104" s="51">
        <f t="shared" si="18"/>
        <v>46057</v>
      </c>
      <c r="U104" s="52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</row>
    <row r="105" spans="3:50">
      <c r="C105" s="207" t="s">
        <v>132</v>
      </c>
      <c r="D105" s="208"/>
      <c r="E105" s="208"/>
      <c r="F105" s="208"/>
      <c r="G105" s="208"/>
      <c r="H105" s="208"/>
      <c r="I105" s="209"/>
      <c r="J105" s="45"/>
      <c r="K105" s="45">
        <f t="shared" ca="1" si="17"/>
        <v>1E-4</v>
      </c>
      <c r="L105" s="55"/>
      <c r="M105" s="56" t="s">
        <v>4</v>
      </c>
      <c r="N105" s="57"/>
      <c r="O105" s="57"/>
      <c r="P105" s="57"/>
      <c r="Q105" s="57"/>
      <c r="R105" s="58"/>
      <c r="S105" s="59"/>
      <c r="T105" s="51">
        <f t="shared" si="18"/>
        <v>46057</v>
      </c>
      <c r="U105" s="84"/>
      <c r="V105" s="85"/>
      <c r="W105" s="85"/>
      <c r="X105" s="53"/>
      <c r="Y105" s="85"/>
      <c r="Z105" s="85"/>
      <c r="AA105" s="53"/>
      <c r="AB105" s="53"/>
      <c r="AC105" s="53"/>
      <c r="AD105" s="53"/>
      <c r="AE105" s="53"/>
      <c r="AF105" s="53"/>
      <c r="AG105" s="53"/>
      <c r="AH105" s="85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</row>
    <row r="106" spans="3:50">
      <c r="C106" s="207" t="s">
        <v>133</v>
      </c>
      <c r="D106" s="208"/>
      <c r="E106" s="208"/>
      <c r="F106" s="208"/>
      <c r="G106" s="208"/>
      <c r="H106" s="208"/>
      <c r="I106" s="209"/>
      <c r="J106" s="44"/>
      <c r="K106" s="45">
        <f t="shared" ca="1" si="17"/>
        <v>1E-4</v>
      </c>
      <c r="L106" s="55"/>
      <c r="M106" s="56" t="s">
        <v>4</v>
      </c>
      <c r="N106" s="57"/>
      <c r="O106" s="57"/>
      <c r="P106" s="57"/>
      <c r="Q106" s="57"/>
      <c r="R106" s="58"/>
      <c r="S106" s="59"/>
      <c r="T106" s="51">
        <f t="shared" si="18"/>
        <v>46057</v>
      </c>
      <c r="U106" s="84"/>
      <c r="V106" s="85"/>
      <c r="W106" s="85"/>
      <c r="X106" s="53"/>
      <c r="Y106" s="85"/>
      <c r="Z106" s="85"/>
      <c r="AA106" s="53"/>
      <c r="AB106" s="53"/>
      <c r="AC106" s="53"/>
      <c r="AD106" s="53"/>
      <c r="AE106" s="53"/>
      <c r="AF106" s="53"/>
      <c r="AG106" s="53"/>
      <c r="AH106" s="85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</row>
    <row r="107" spans="3:50">
      <c r="C107" s="207" t="s">
        <v>134</v>
      </c>
      <c r="D107" s="208"/>
      <c r="E107" s="208"/>
      <c r="F107" s="208"/>
      <c r="G107" s="208"/>
      <c r="H107" s="208"/>
      <c r="I107" s="209"/>
      <c r="J107" s="44"/>
      <c r="K107" s="45">
        <f t="shared" ca="1" si="17"/>
        <v>1E-4</v>
      </c>
      <c r="L107" s="55"/>
      <c r="M107" s="56" t="s">
        <v>4</v>
      </c>
      <c r="N107" s="57"/>
      <c r="O107" s="57"/>
      <c r="P107" s="57"/>
      <c r="Q107" s="57"/>
      <c r="R107" s="58"/>
      <c r="S107" s="59"/>
      <c r="T107" s="51">
        <f t="shared" si="18"/>
        <v>46057</v>
      </c>
      <c r="U107" s="84"/>
      <c r="V107" s="85"/>
      <c r="W107" s="155"/>
      <c r="X107" s="53"/>
      <c r="Y107" s="155"/>
      <c r="Z107" s="155"/>
      <c r="AA107" s="53"/>
      <c r="AB107" s="54"/>
      <c r="AC107" s="54"/>
      <c r="AD107" s="54"/>
      <c r="AE107" s="54"/>
      <c r="AF107" s="53"/>
      <c r="AG107" s="53"/>
      <c r="AH107" s="155"/>
      <c r="AI107" s="53"/>
      <c r="AJ107" s="53"/>
      <c r="AK107" s="53"/>
      <c r="AL107" s="53"/>
      <c r="AM107" s="53"/>
      <c r="AN107" s="53"/>
      <c r="AO107" s="53"/>
      <c r="AP107" s="53"/>
      <c r="AQ107" s="53"/>
      <c r="AR107" s="54"/>
      <c r="AS107" s="53"/>
      <c r="AT107" s="53"/>
      <c r="AU107" s="54"/>
      <c r="AV107" s="53"/>
      <c r="AW107" s="53"/>
      <c r="AX107" s="53"/>
    </row>
    <row r="108" spans="3:50">
      <c r="C108" s="207" t="s">
        <v>135</v>
      </c>
      <c r="D108" s="208"/>
      <c r="E108" s="208"/>
      <c r="F108" s="208"/>
      <c r="G108" s="208"/>
      <c r="H108" s="208"/>
      <c r="I108" s="209"/>
      <c r="J108" s="45"/>
      <c r="K108" s="45">
        <f t="shared" ca="1" si="17"/>
        <v>1E-4</v>
      </c>
      <c r="L108" s="55"/>
      <c r="M108" s="56" t="s">
        <v>4</v>
      </c>
      <c r="N108" s="57" t="s">
        <v>11</v>
      </c>
      <c r="O108" s="57"/>
      <c r="P108" s="57"/>
      <c r="Q108" s="57"/>
      <c r="R108" s="58"/>
      <c r="S108" s="59"/>
      <c r="T108" s="51">
        <f t="shared" si="18"/>
        <v>46057</v>
      </c>
      <c r="U108" s="84"/>
      <c r="V108" s="85"/>
      <c r="W108" s="85"/>
      <c r="X108" s="53"/>
      <c r="Y108" s="85"/>
      <c r="Z108" s="85"/>
      <c r="AA108" s="53"/>
      <c r="AB108" s="53"/>
      <c r="AC108" s="53"/>
      <c r="AD108" s="53"/>
      <c r="AE108" s="53"/>
      <c r="AF108" s="53"/>
      <c r="AG108" s="53"/>
      <c r="AH108" s="85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</row>
    <row r="109" spans="3:50">
      <c r="C109" s="207" t="s">
        <v>136</v>
      </c>
      <c r="D109" s="208"/>
      <c r="E109" s="208"/>
      <c r="F109" s="208"/>
      <c r="G109" s="208"/>
      <c r="H109" s="208"/>
      <c r="I109" s="209"/>
      <c r="J109" s="156"/>
      <c r="K109" s="45">
        <f t="shared" ca="1" si="17"/>
        <v>1E-4</v>
      </c>
      <c r="L109" s="132"/>
      <c r="M109" s="56" t="s">
        <v>4</v>
      </c>
      <c r="N109" s="151"/>
      <c r="O109" s="151"/>
      <c r="P109" s="151"/>
      <c r="Q109" s="151"/>
      <c r="R109" s="87"/>
      <c r="S109" s="133"/>
      <c r="T109" s="51">
        <f t="shared" si="18"/>
        <v>46057</v>
      </c>
      <c r="U109" s="134"/>
      <c r="V109" s="135"/>
      <c r="W109" s="135"/>
      <c r="X109" s="136"/>
      <c r="Y109" s="135"/>
      <c r="Z109" s="135"/>
      <c r="AA109" s="136"/>
      <c r="AB109" s="136"/>
      <c r="AC109" s="136"/>
      <c r="AD109" s="136"/>
      <c r="AE109" s="136"/>
      <c r="AF109" s="136"/>
      <c r="AG109" s="136"/>
      <c r="AH109" s="135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</row>
    <row r="110" spans="3:50">
      <c r="C110" s="207" t="s">
        <v>137</v>
      </c>
      <c r="D110" s="208"/>
      <c r="E110" s="208"/>
      <c r="F110" s="208"/>
      <c r="G110" s="208"/>
      <c r="H110" s="208"/>
      <c r="I110" s="209"/>
      <c r="J110" s="156"/>
      <c r="K110" s="45">
        <f t="shared" ca="1" si="17"/>
        <v>1E-4</v>
      </c>
      <c r="L110" s="132"/>
      <c r="M110" s="56" t="s">
        <v>4</v>
      </c>
      <c r="N110" s="151"/>
      <c r="O110" s="151"/>
      <c r="P110" s="151"/>
      <c r="Q110" s="151"/>
      <c r="R110" s="87"/>
      <c r="S110" s="133"/>
      <c r="T110" s="51">
        <f t="shared" si="18"/>
        <v>46057</v>
      </c>
      <c r="U110" s="134"/>
      <c r="V110" s="135"/>
      <c r="W110" s="135"/>
      <c r="X110" s="136"/>
      <c r="Y110" s="135"/>
      <c r="Z110" s="135"/>
      <c r="AA110" s="136"/>
      <c r="AB110" s="136"/>
      <c r="AC110" s="136"/>
      <c r="AD110" s="136"/>
      <c r="AE110" s="136"/>
      <c r="AF110" s="136"/>
      <c r="AG110" s="136"/>
      <c r="AH110" s="135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</row>
    <row r="111" spans="3:50">
      <c r="C111" s="207" t="s">
        <v>138</v>
      </c>
      <c r="D111" s="208"/>
      <c r="E111" s="208"/>
      <c r="F111" s="208"/>
      <c r="G111" s="208"/>
      <c r="H111" s="208"/>
      <c r="I111" s="209"/>
      <c r="J111" s="156"/>
      <c r="K111" s="45">
        <f t="shared" ca="1" si="17"/>
        <v>1E-4</v>
      </c>
      <c r="L111" s="132"/>
      <c r="M111" s="56" t="s">
        <v>4</v>
      </c>
      <c r="N111" s="151"/>
      <c r="O111" s="151"/>
      <c r="P111" s="151"/>
      <c r="Q111" s="151"/>
      <c r="R111" s="87"/>
      <c r="S111" s="133"/>
      <c r="T111" s="51">
        <f t="shared" si="18"/>
        <v>46057</v>
      </c>
      <c r="U111" s="134"/>
      <c r="V111" s="135"/>
      <c r="W111" s="135"/>
      <c r="X111" s="136"/>
      <c r="Y111" s="135"/>
      <c r="Z111" s="135"/>
      <c r="AA111" s="136"/>
      <c r="AB111" s="136"/>
      <c r="AC111" s="136"/>
      <c r="AD111" s="136"/>
      <c r="AE111" s="136"/>
      <c r="AF111" s="136"/>
      <c r="AG111" s="136"/>
      <c r="AH111" s="135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</row>
    <row r="112" spans="3:50">
      <c r="C112" s="207" t="s">
        <v>139</v>
      </c>
      <c r="D112" s="208"/>
      <c r="E112" s="208"/>
      <c r="F112" s="208"/>
      <c r="G112" s="208"/>
      <c r="H112" s="208"/>
      <c r="I112" s="209"/>
      <c r="J112" s="156"/>
      <c r="K112" s="45">
        <f t="shared" ca="1" si="17"/>
        <v>1E-4</v>
      </c>
      <c r="L112" s="132"/>
      <c r="M112" s="56" t="s">
        <v>4</v>
      </c>
      <c r="N112" s="151"/>
      <c r="O112" s="151"/>
      <c r="P112" s="151"/>
      <c r="Q112" s="151"/>
      <c r="R112" s="87"/>
      <c r="S112" s="133"/>
      <c r="T112" s="51">
        <f t="shared" si="18"/>
        <v>46057</v>
      </c>
      <c r="U112" s="134"/>
      <c r="V112" s="135"/>
      <c r="W112" s="135"/>
      <c r="X112" s="136"/>
      <c r="Y112" s="135"/>
      <c r="Z112" s="135"/>
      <c r="AA112" s="136"/>
      <c r="AB112" s="136"/>
      <c r="AC112" s="136"/>
      <c r="AD112" s="136"/>
      <c r="AE112" s="136"/>
      <c r="AF112" s="136"/>
      <c r="AG112" s="136"/>
      <c r="AH112" s="135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</row>
    <row r="113" spans="3:50">
      <c r="C113" s="230" t="s">
        <v>140</v>
      </c>
      <c r="D113" s="231"/>
      <c r="E113" s="231"/>
      <c r="F113" s="231"/>
      <c r="G113" s="231"/>
      <c r="H113" s="231"/>
      <c r="I113" s="232"/>
      <c r="J113" s="156"/>
      <c r="K113" s="45">
        <f t="shared" ca="1" si="17"/>
        <v>1E-4</v>
      </c>
      <c r="L113" s="132"/>
      <c r="M113" s="56" t="s">
        <v>4</v>
      </c>
      <c r="N113" s="151"/>
      <c r="O113" s="151"/>
      <c r="P113" s="151"/>
      <c r="Q113" s="151"/>
      <c r="R113" s="87"/>
      <c r="S113" s="133"/>
      <c r="T113" s="51">
        <f t="shared" si="18"/>
        <v>46057</v>
      </c>
      <c r="U113" s="134"/>
      <c r="V113" s="135"/>
      <c r="W113" s="135"/>
      <c r="X113" s="136"/>
      <c r="Y113" s="135"/>
      <c r="Z113" s="135"/>
      <c r="AA113" s="136"/>
      <c r="AB113" s="136"/>
      <c r="AC113" s="136"/>
      <c r="AD113" s="136"/>
      <c r="AE113" s="136"/>
      <c r="AF113" s="136"/>
      <c r="AG113" s="136"/>
      <c r="AH113" s="135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</row>
    <row r="114" spans="3:50" ht="15.75" thickBot="1">
      <c r="C114" s="210" t="s">
        <v>141</v>
      </c>
      <c r="D114" s="211"/>
      <c r="E114" s="211"/>
      <c r="F114" s="211"/>
      <c r="G114" s="211"/>
      <c r="H114" s="211"/>
      <c r="I114" s="212"/>
      <c r="J114" s="156"/>
      <c r="K114" s="45">
        <f t="shared" ca="1" si="17"/>
        <v>1E-4</v>
      </c>
      <c r="L114" s="132"/>
      <c r="M114" s="56" t="s">
        <v>4</v>
      </c>
      <c r="N114" s="151"/>
      <c r="O114" s="151"/>
      <c r="P114" s="151"/>
      <c r="Q114" s="151"/>
      <c r="R114" s="87"/>
      <c r="S114" s="133"/>
      <c r="T114" s="51">
        <f t="shared" si="18"/>
        <v>46057</v>
      </c>
      <c r="U114" s="134"/>
      <c r="V114" s="135"/>
      <c r="W114" s="135"/>
      <c r="X114" s="136"/>
      <c r="Y114" s="135"/>
      <c r="Z114" s="135"/>
      <c r="AA114" s="136"/>
      <c r="AB114" s="136"/>
      <c r="AC114" s="136"/>
      <c r="AD114" s="136"/>
      <c r="AE114" s="136"/>
      <c r="AF114" s="136"/>
      <c r="AG114" s="136"/>
      <c r="AH114" s="135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</row>
    <row r="115" spans="3:50" ht="15.75">
      <c r="C115" s="220">
        <f>$C$3+(D115*7)</f>
        <v>46064</v>
      </c>
      <c r="D115" s="222">
        <v>-7</v>
      </c>
      <c r="E115" s="224" t="s">
        <v>40</v>
      </c>
      <c r="F115" s="224"/>
      <c r="G115" s="224"/>
      <c r="H115" s="224"/>
      <c r="I115" s="225"/>
      <c r="J115" s="213">
        <f>SUM(J117:J118)/COUNTA(C117:I118)</f>
        <v>0</v>
      </c>
      <c r="K115" s="213">
        <f ca="1">AVERAGE(K117:K118)</f>
        <v>1E-4</v>
      </c>
      <c r="L115" s="148"/>
      <c r="M115" s="111"/>
      <c r="N115" s="112"/>
      <c r="O115" s="112"/>
      <c r="P115" s="112"/>
      <c r="Q115" s="112"/>
      <c r="R115" s="113"/>
      <c r="S115" s="69"/>
      <c r="T115" s="70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</row>
    <row r="116" spans="3:50" ht="16.5" thickBot="1">
      <c r="C116" s="221"/>
      <c r="D116" s="223"/>
      <c r="E116" s="226" t="s">
        <v>142</v>
      </c>
      <c r="F116" s="226"/>
      <c r="G116" s="226"/>
      <c r="H116" s="226"/>
      <c r="I116" s="227"/>
      <c r="J116" s="214"/>
      <c r="K116" s="214"/>
      <c r="L116" s="149"/>
      <c r="M116" s="94"/>
      <c r="N116" s="95"/>
      <c r="O116" s="95"/>
      <c r="P116" s="95"/>
      <c r="Q116" s="95"/>
      <c r="R116" s="96"/>
      <c r="S116" s="69"/>
      <c r="T116" s="70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</row>
    <row r="117" spans="3:50" ht="22.5">
      <c r="C117" s="235" t="s">
        <v>143</v>
      </c>
      <c r="D117" s="236"/>
      <c r="E117" s="236"/>
      <c r="F117" s="236"/>
      <c r="G117" s="236"/>
      <c r="H117" s="236"/>
      <c r="I117" s="236"/>
      <c r="J117" s="73"/>
      <c r="K117" s="45">
        <f ca="1">IF($C$99-$G$8&lt;0%,100%,0.01%)</f>
        <v>1E-4</v>
      </c>
      <c r="L117" s="157"/>
      <c r="M117" s="145" t="s">
        <v>4</v>
      </c>
      <c r="N117" s="158" t="s">
        <v>37</v>
      </c>
      <c r="O117" s="158"/>
      <c r="P117" s="158"/>
      <c r="Q117" s="158"/>
      <c r="R117" s="159"/>
      <c r="S117" s="133"/>
      <c r="T117" s="51">
        <f>$C$35+S117</f>
        <v>45973</v>
      </c>
      <c r="U117" s="134"/>
      <c r="V117" s="135"/>
      <c r="W117" s="135"/>
      <c r="X117" s="136"/>
      <c r="Y117" s="135"/>
      <c r="Z117" s="135"/>
      <c r="AA117" s="136"/>
      <c r="AB117" s="136"/>
      <c r="AC117" s="136"/>
      <c r="AD117" s="136"/>
      <c r="AE117" s="136"/>
      <c r="AF117" s="136"/>
      <c r="AG117" s="136"/>
      <c r="AH117" s="135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</row>
    <row r="118" spans="3:50" ht="15.75" thickBot="1">
      <c r="C118" s="234" t="s">
        <v>144</v>
      </c>
      <c r="D118" s="231"/>
      <c r="E118" s="231"/>
      <c r="F118" s="231"/>
      <c r="G118" s="231"/>
      <c r="H118" s="231"/>
      <c r="I118" s="231"/>
      <c r="J118" s="152"/>
      <c r="K118" s="45">
        <f ca="1">IF($C$99-$G$8&lt;0%,100%,0.01%)</f>
        <v>1E-4</v>
      </c>
      <c r="L118" s="132"/>
      <c r="M118" s="125" t="s">
        <v>4</v>
      </c>
      <c r="N118" s="151"/>
      <c r="O118" s="151"/>
      <c r="P118" s="151"/>
      <c r="Q118" s="151"/>
      <c r="R118" s="87"/>
      <c r="S118" s="133"/>
      <c r="T118" s="51">
        <f>$C$35+S118</f>
        <v>45973</v>
      </c>
      <c r="U118" s="134"/>
      <c r="V118" s="135"/>
      <c r="W118" s="135"/>
      <c r="X118" s="136"/>
      <c r="Y118" s="135"/>
      <c r="Z118" s="135"/>
      <c r="AA118" s="136"/>
      <c r="AB118" s="136"/>
      <c r="AC118" s="136"/>
      <c r="AD118" s="136"/>
      <c r="AE118" s="136"/>
      <c r="AF118" s="136"/>
      <c r="AG118" s="136"/>
      <c r="AH118" s="135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</row>
    <row r="119" spans="3:50" ht="15.75">
      <c r="C119" s="220">
        <f>$C$3+(D119*7)</f>
        <v>46071</v>
      </c>
      <c r="D119" s="222">
        <v>-6</v>
      </c>
      <c r="E119" s="224" t="s">
        <v>40</v>
      </c>
      <c r="F119" s="224"/>
      <c r="G119" s="224"/>
      <c r="H119" s="224"/>
      <c r="I119" s="225"/>
      <c r="J119" s="213">
        <f>SUM(J121:J135)/COUNTA(C121:I135)</f>
        <v>0</v>
      </c>
      <c r="K119" s="213">
        <f ca="1">AVERAGE(K121:K135)</f>
        <v>1.0000000000000003E-4</v>
      </c>
      <c r="L119" s="148"/>
      <c r="M119" s="111"/>
      <c r="N119" s="112"/>
      <c r="O119" s="112"/>
      <c r="P119" s="112"/>
      <c r="Q119" s="112"/>
      <c r="R119" s="113"/>
      <c r="S119" s="69"/>
      <c r="T119" s="70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</row>
    <row r="120" spans="3:50" ht="16.5" thickBot="1">
      <c r="C120" s="221"/>
      <c r="D120" s="223"/>
      <c r="E120" s="226" t="s">
        <v>145</v>
      </c>
      <c r="F120" s="226"/>
      <c r="G120" s="226"/>
      <c r="H120" s="226"/>
      <c r="I120" s="227"/>
      <c r="J120" s="214"/>
      <c r="K120" s="214"/>
      <c r="L120" s="149"/>
      <c r="M120" s="94"/>
      <c r="N120" s="95"/>
      <c r="O120" s="95"/>
      <c r="P120" s="95"/>
      <c r="Q120" s="95"/>
      <c r="R120" s="96"/>
      <c r="S120" s="69"/>
      <c r="T120" s="70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</row>
    <row r="121" spans="3:50">
      <c r="C121" s="233" t="s">
        <v>146</v>
      </c>
      <c r="D121" s="218"/>
      <c r="E121" s="218"/>
      <c r="F121" s="218"/>
      <c r="G121" s="218"/>
      <c r="H121" s="218"/>
      <c r="I121" s="218"/>
      <c r="J121" s="72"/>
      <c r="K121" s="73">
        <f t="shared" ref="K121:K135" ca="1" si="19">IF($C$119-$G$8&lt;0%,100%,0.01%)</f>
        <v>1E-4</v>
      </c>
      <c r="L121" s="160"/>
      <c r="M121" s="127" t="s">
        <v>4</v>
      </c>
      <c r="N121" s="128"/>
      <c r="O121" s="128"/>
      <c r="P121" s="128"/>
      <c r="Q121" s="128"/>
      <c r="R121" s="129"/>
      <c r="S121" s="78"/>
      <c r="T121" s="51">
        <f>$C$35+S121</f>
        <v>45973</v>
      </c>
      <c r="U121" s="102"/>
      <c r="V121" s="103"/>
      <c r="W121" s="103"/>
      <c r="X121" s="81"/>
      <c r="Y121" s="103"/>
      <c r="Z121" s="103"/>
      <c r="AA121" s="81"/>
      <c r="AB121" s="81"/>
      <c r="AC121" s="81"/>
      <c r="AD121" s="81"/>
      <c r="AE121" s="81"/>
      <c r="AF121" s="81"/>
      <c r="AG121" s="81"/>
      <c r="AH121" s="103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</row>
    <row r="122" spans="3:50">
      <c r="C122" s="207" t="s">
        <v>130</v>
      </c>
      <c r="D122" s="208"/>
      <c r="E122" s="208"/>
      <c r="F122" s="208"/>
      <c r="G122" s="208"/>
      <c r="H122" s="208"/>
      <c r="I122" s="208"/>
      <c r="J122" s="44"/>
      <c r="K122" s="45">
        <f t="shared" ca="1" si="19"/>
        <v>1E-4</v>
      </c>
      <c r="L122" s="55"/>
      <c r="M122" s="127" t="s">
        <v>4</v>
      </c>
      <c r="N122" s="57"/>
      <c r="O122" s="57"/>
      <c r="P122" s="57"/>
      <c r="Q122" s="57"/>
      <c r="R122" s="58"/>
      <c r="S122" s="59"/>
      <c r="T122" s="51">
        <f t="shared" ref="T122:T135" si="20">$C$35+S122</f>
        <v>45973</v>
      </c>
      <c r="U122" s="84"/>
      <c r="V122" s="85"/>
      <c r="W122" s="85"/>
      <c r="X122" s="85"/>
      <c r="Y122" s="85"/>
      <c r="Z122" s="85"/>
      <c r="AA122" s="53"/>
      <c r="AB122" s="53"/>
      <c r="AC122" s="53"/>
      <c r="AD122" s="53"/>
      <c r="AE122" s="53"/>
      <c r="AF122" s="53"/>
      <c r="AG122" s="53"/>
      <c r="AH122" s="85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</row>
    <row r="123" spans="3:50">
      <c r="C123" s="207" t="s">
        <v>147</v>
      </c>
      <c r="D123" s="208"/>
      <c r="E123" s="208"/>
      <c r="F123" s="208"/>
      <c r="G123" s="208"/>
      <c r="H123" s="208"/>
      <c r="I123" s="208"/>
      <c r="J123" s="131"/>
      <c r="K123" s="156">
        <f t="shared" ca="1" si="19"/>
        <v>1E-4</v>
      </c>
      <c r="L123" s="132"/>
      <c r="M123" s="127" t="s">
        <v>4</v>
      </c>
      <c r="N123" s="151"/>
      <c r="O123" s="151"/>
      <c r="P123" s="151"/>
      <c r="Q123" s="151"/>
      <c r="R123" s="87"/>
      <c r="S123" s="133"/>
      <c r="T123" s="51">
        <f t="shared" si="20"/>
        <v>45973</v>
      </c>
      <c r="U123" s="134"/>
      <c r="V123" s="135"/>
      <c r="W123" s="135"/>
      <c r="X123" s="135"/>
      <c r="Y123" s="135"/>
      <c r="Z123" s="135"/>
      <c r="AA123" s="136"/>
      <c r="AB123" s="136"/>
      <c r="AC123" s="136"/>
      <c r="AD123" s="136"/>
      <c r="AE123" s="136"/>
      <c r="AF123" s="136"/>
      <c r="AG123" s="136"/>
      <c r="AH123" s="135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</row>
    <row r="124" spans="3:50">
      <c r="C124" s="207" t="s">
        <v>148</v>
      </c>
      <c r="D124" s="208"/>
      <c r="E124" s="208"/>
      <c r="F124" s="208"/>
      <c r="G124" s="208"/>
      <c r="H124" s="208"/>
      <c r="I124" s="208"/>
      <c r="J124" s="131"/>
      <c r="K124" s="156">
        <f t="shared" ca="1" si="19"/>
        <v>1E-4</v>
      </c>
      <c r="L124" s="132"/>
      <c r="M124" s="127" t="s">
        <v>4</v>
      </c>
      <c r="N124" s="151"/>
      <c r="O124" s="151"/>
      <c r="P124" s="151"/>
      <c r="Q124" s="151"/>
      <c r="R124" s="87"/>
      <c r="S124" s="133"/>
      <c r="T124" s="51">
        <f t="shared" si="20"/>
        <v>45973</v>
      </c>
      <c r="U124" s="134"/>
      <c r="V124" s="135"/>
      <c r="W124" s="135"/>
      <c r="X124" s="135"/>
      <c r="Y124" s="135"/>
      <c r="Z124" s="135"/>
      <c r="AA124" s="136"/>
      <c r="AB124" s="136"/>
      <c r="AC124" s="136"/>
      <c r="AD124" s="136"/>
      <c r="AE124" s="136"/>
      <c r="AF124" s="136"/>
      <c r="AG124" s="136"/>
      <c r="AH124" s="135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</row>
    <row r="125" spans="3:50">
      <c r="C125" s="207" t="s">
        <v>149</v>
      </c>
      <c r="D125" s="208"/>
      <c r="E125" s="208"/>
      <c r="F125" s="208"/>
      <c r="G125" s="208"/>
      <c r="H125" s="208"/>
      <c r="I125" s="208"/>
      <c r="J125" s="131"/>
      <c r="K125" s="156">
        <f t="shared" ca="1" si="19"/>
        <v>1E-4</v>
      </c>
      <c r="L125" s="132"/>
      <c r="M125" s="127" t="s">
        <v>4</v>
      </c>
      <c r="N125" s="151"/>
      <c r="O125" s="151"/>
      <c r="P125" s="151"/>
      <c r="Q125" s="151"/>
      <c r="R125" s="87"/>
      <c r="S125" s="133"/>
      <c r="T125" s="51">
        <f t="shared" si="20"/>
        <v>45973</v>
      </c>
      <c r="U125" s="134"/>
      <c r="V125" s="135"/>
      <c r="W125" s="135"/>
      <c r="X125" s="135"/>
      <c r="Y125" s="135"/>
      <c r="Z125" s="135"/>
      <c r="AA125" s="136"/>
      <c r="AB125" s="136"/>
      <c r="AC125" s="136"/>
      <c r="AD125" s="136"/>
      <c r="AE125" s="136"/>
      <c r="AF125" s="136"/>
      <c r="AG125" s="136"/>
      <c r="AH125" s="135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</row>
    <row r="126" spans="3:50">
      <c r="C126" s="207" t="s">
        <v>150</v>
      </c>
      <c r="D126" s="208"/>
      <c r="E126" s="208"/>
      <c r="F126" s="208"/>
      <c r="G126" s="208"/>
      <c r="H126" s="208"/>
      <c r="I126" s="208"/>
      <c r="J126" s="131"/>
      <c r="K126" s="156">
        <f t="shared" ca="1" si="19"/>
        <v>1E-4</v>
      </c>
      <c r="L126" s="161"/>
      <c r="M126" s="127" t="s">
        <v>4</v>
      </c>
      <c r="N126" s="151"/>
      <c r="O126" s="151"/>
      <c r="P126" s="151"/>
      <c r="Q126" s="151"/>
      <c r="R126" s="87"/>
      <c r="S126" s="133"/>
      <c r="T126" s="51">
        <f t="shared" si="20"/>
        <v>45973</v>
      </c>
      <c r="U126" s="134"/>
      <c r="V126" s="135"/>
      <c r="W126" s="135"/>
      <c r="X126" s="135"/>
      <c r="Y126" s="135"/>
      <c r="Z126" s="135"/>
      <c r="AA126" s="136"/>
      <c r="AB126" s="136"/>
      <c r="AC126" s="136"/>
      <c r="AD126" s="136"/>
      <c r="AE126" s="136"/>
      <c r="AF126" s="136"/>
      <c r="AG126" s="136"/>
      <c r="AH126" s="135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</row>
    <row r="127" spans="3:50">
      <c r="C127" s="207" t="s">
        <v>151</v>
      </c>
      <c r="D127" s="208"/>
      <c r="E127" s="208"/>
      <c r="F127" s="208"/>
      <c r="G127" s="208"/>
      <c r="H127" s="208"/>
      <c r="I127" s="208"/>
      <c r="J127" s="131"/>
      <c r="K127" s="156">
        <f t="shared" ca="1" si="19"/>
        <v>1E-4</v>
      </c>
      <c r="L127" s="132"/>
      <c r="M127" s="127" t="s">
        <v>4</v>
      </c>
      <c r="N127" s="151"/>
      <c r="O127" s="151"/>
      <c r="P127" s="151"/>
      <c r="Q127" s="151"/>
      <c r="R127" s="87"/>
      <c r="S127" s="133"/>
      <c r="T127" s="51">
        <f t="shared" si="20"/>
        <v>45973</v>
      </c>
      <c r="U127" s="134"/>
      <c r="V127" s="135"/>
      <c r="W127" s="135"/>
      <c r="X127" s="135"/>
      <c r="Y127" s="135"/>
      <c r="Z127" s="135"/>
      <c r="AA127" s="136"/>
      <c r="AB127" s="136"/>
      <c r="AC127" s="136"/>
      <c r="AD127" s="136"/>
      <c r="AE127" s="136"/>
      <c r="AF127" s="136"/>
      <c r="AG127" s="136"/>
      <c r="AH127" s="135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</row>
    <row r="128" spans="3:50">
      <c r="C128" s="207" t="s">
        <v>152</v>
      </c>
      <c r="D128" s="208"/>
      <c r="E128" s="208"/>
      <c r="F128" s="208"/>
      <c r="G128" s="208"/>
      <c r="H128" s="208"/>
      <c r="I128" s="208"/>
      <c r="J128" s="131"/>
      <c r="K128" s="156">
        <f t="shared" ca="1" si="19"/>
        <v>1E-4</v>
      </c>
      <c r="L128" s="132"/>
      <c r="M128" s="56" t="s">
        <v>37</v>
      </c>
      <c r="N128" s="151"/>
      <c r="O128" s="151"/>
      <c r="P128" s="151"/>
      <c r="Q128" s="151"/>
      <c r="R128" s="87"/>
      <c r="S128" s="133"/>
      <c r="T128" s="51">
        <f t="shared" si="20"/>
        <v>45973</v>
      </c>
      <c r="U128" s="134"/>
      <c r="V128" s="135"/>
      <c r="W128" s="135"/>
      <c r="X128" s="135"/>
      <c r="Y128" s="135"/>
      <c r="Z128" s="135"/>
      <c r="AA128" s="136"/>
      <c r="AB128" s="136"/>
      <c r="AC128" s="136"/>
      <c r="AD128" s="136"/>
      <c r="AE128" s="136"/>
      <c r="AF128" s="136"/>
      <c r="AG128" s="136"/>
      <c r="AH128" s="135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</row>
    <row r="129" spans="3:50">
      <c r="C129" s="207" t="s">
        <v>153</v>
      </c>
      <c r="D129" s="208"/>
      <c r="E129" s="208"/>
      <c r="F129" s="208"/>
      <c r="G129" s="208"/>
      <c r="H129" s="208"/>
      <c r="I129" s="208"/>
      <c r="J129" s="131"/>
      <c r="K129" s="156">
        <f t="shared" ca="1" si="19"/>
        <v>1E-4</v>
      </c>
      <c r="L129" s="132"/>
      <c r="M129" s="125" t="s">
        <v>37</v>
      </c>
      <c r="N129" s="151" t="s">
        <v>4</v>
      </c>
      <c r="O129" s="151"/>
      <c r="P129" s="151"/>
      <c r="Q129" s="151"/>
      <c r="R129" s="87"/>
      <c r="S129" s="133"/>
      <c r="T129" s="51">
        <f t="shared" si="20"/>
        <v>45973</v>
      </c>
      <c r="U129" s="134"/>
      <c r="V129" s="135"/>
      <c r="W129" s="135"/>
      <c r="X129" s="135"/>
      <c r="Y129" s="135"/>
      <c r="Z129" s="135"/>
      <c r="AA129" s="136"/>
      <c r="AB129" s="136"/>
      <c r="AC129" s="136"/>
      <c r="AD129" s="136"/>
      <c r="AE129" s="136"/>
      <c r="AF129" s="136"/>
      <c r="AG129" s="136"/>
      <c r="AH129" s="135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</row>
    <row r="130" spans="3:50">
      <c r="C130" s="207" t="s">
        <v>154</v>
      </c>
      <c r="D130" s="208"/>
      <c r="E130" s="208"/>
      <c r="F130" s="208"/>
      <c r="G130" s="208"/>
      <c r="H130" s="208"/>
      <c r="I130" s="208"/>
      <c r="J130" s="131"/>
      <c r="K130" s="156">
        <f t="shared" ca="1" si="19"/>
        <v>1E-4</v>
      </c>
      <c r="L130" s="132"/>
      <c r="M130" s="125" t="s">
        <v>37</v>
      </c>
      <c r="N130" s="151" t="s">
        <v>4</v>
      </c>
      <c r="O130" s="151"/>
      <c r="P130" s="151"/>
      <c r="Q130" s="151"/>
      <c r="R130" s="87"/>
      <c r="S130" s="133"/>
      <c r="T130" s="51">
        <f t="shared" si="20"/>
        <v>45973</v>
      </c>
      <c r="U130" s="134"/>
      <c r="V130" s="135"/>
      <c r="W130" s="135"/>
      <c r="X130" s="135"/>
      <c r="Y130" s="135"/>
      <c r="Z130" s="135"/>
      <c r="AA130" s="136"/>
      <c r="AB130" s="136"/>
      <c r="AC130" s="136"/>
      <c r="AD130" s="136"/>
      <c r="AE130" s="136"/>
      <c r="AF130" s="136"/>
      <c r="AG130" s="136"/>
      <c r="AH130" s="135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</row>
    <row r="131" spans="3:50">
      <c r="C131" s="207" t="s">
        <v>155</v>
      </c>
      <c r="D131" s="208"/>
      <c r="E131" s="208"/>
      <c r="F131" s="208"/>
      <c r="G131" s="208"/>
      <c r="H131" s="208"/>
      <c r="I131" s="208"/>
      <c r="J131" s="131"/>
      <c r="K131" s="156">
        <f t="shared" ca="1" si="19"/>
        <v>1E-4</v>
      </c>
      <c r="L131" s="132"/>
      <c r="M131" s="125" t="s">
        <v>37</v>
      </c>
      <c r="N131" s="151" t="s">
        <v>4</v>
      </c>
      <c r="O131" s="151"/>
      <c r="P131" s="151"/>
      <c r="Q131" s="151"/>
      <c r="R131" s="87"/>
      <c r="S131" s="133"/>
      <c r="T131" s="51">
        <f t="shared" si="20"/>
        <v>45973</v>
      </c>
      <c r="U131" s="134"/>
      <c r="V131" s="135"/>
      <c r="W131" s="135"/>
      <c r="X131" s="135"/>
      <c r="Y131" s="135"/>
      <c r="Z131" s="135"/>
      <c r="AA131" s="136"/>
      <c r="AB131" s="136"/>
      <c r="AC131" s="136"/>
      <c r="AD131" s="136"/>
      <c r="AE131" s="136"/>
      <c r="AF131" s="136"/>
      <c r="AG131" s="136"/>
      <c r="AH131" s="135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</row>
    <row r="132" spans="3:50">
      <c r="C132" s="207" t="s">
        <v>156</v>
      </c>
      <c r="D132" s="208"/>
      <c r="E132" s="208"/>
      <c r="F132" s="208"/>
      <c r="G132" s="208"/>
      <c r="H132" s="208"/>
      <c r="I132" s="208"/>
      <c r="J132" s="131"/>
      <c r="K132" s="156">
        <f t="shared" ca="1" si="19"/>
        <v>1E-4</v>
      </c>
      <c r="L132" s="132"/>
      <c r="M132" s="125" t="s">
        <v>4</v>
      </c>
      <c r="N132" s="151"/>
      <c r="O132" s="151"/>
      <c r="P132" s="151"/>
      <c r="Q132" s="151"/>
      <c r="R132" s="87"/>
      <c r="S132" s="133"/>
      <c r="T132" s="51">
        <f t="shared" si="20"/>
        <v>45973</v>
      </c>
      <c r="U132" s="134"/>
      <c r="V132" s="135"/>
      <c r="W132" s="135"/>
      <c r="X132" s="135"/>
      <c r="Y132" s="135"/>
      <c r="Z132" s="135"/>
      <c r="AA132" s="136"/>
      <c r="AB132" s="136"/>
      <c r="AC132" s="136"/>
      <c r="AD132" s="136"/>
      <c r="AE132" s="136"/>
      <c r="AF132" s="136"/>
      <c r="AG132" s="136"/>
      <c r="AH132" s="135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</row>
    <row r="133" spans="3:50">
      <c r="C133" s="207" t="s">
        <v>157</v>
      </c>
      <c r="D133" s="208"/>
      <c r="E133" s="208"/>
      <c r="F133" s="208"/>
      <c r="G133" s="208"/>
      <c r="H133" s="208"/>
      <c r="I133" s="208"/>
      <c r="J133" s="131"/>
      <c r="K133" s="156">
        <f t="shared" ca="1" si="19"/>
        <v>1E-4</v>
      </c>
      <c r="L133" s="132"/>
      <c r="M133" s="125" t="s">
        <v>4</v>
      </c>
      <c r="N133" s="151" t="s">
        <v>11</v>
      </c>
      <c r="O133" s="151"/>
      <c r="P133" s="151"/>
      <c r="Q133" s="151"/>
      <c r="R133" s="87"/>
      <c r="S133" s="133"/>
      <c r="T133" s="51">
        <f t="shared" si="20"/>
        <v>45973</v>
      </c>
      <c r="U133" s="134"/>
      <c r="V133" s="135"/>
      <c r="W133" s="135"/>
      <c r="X133" s="135"/>
      <c r="Y133" s="135"/>
      <c r="Z133" s="135"/>
      <c r="AA133" s="136"/>
      <c r="AB133" s="136"/>
      <c r="AC133" s="136"/>
      <c r="AD133" s="136"/>
      <c r="AE133" s="136"/>
      <c r="AF133" s="136"/>
      <c r="AG133" s="136"/>
      <c r="AH133" s="135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</row>
    <row r="134" spans="3:50">
      <c r="C134" s="207" t="s">
        <v>158</v>
      </c>
      <c r="D134" s="208"/>
      <c r="E134" s="208"/>
      <c r="F134" s="208"/>
      <c r="G134" s="208"/>
      <c r="H134" s="208"/>
      <c r="I134" s="208"/>
      <c r="J134" s="131"/>
      <c r="K134" s="156">
        <f t="shared" ca="1" si="19"/>
        <v>1E-4</v>
      </c>
      <c r="L134" s="132"/>
      <c r="M134" s="125" t="s">
        <v>4</v>
      </c>
      <c r="N134" s="151"/>
      <c r="O134" s="151"/>
      <c r="P134" s="151"/>
      <c r="Q134" s="151"/>
      <c r="R134" s="87"/>
      <c r="S134" s="133"/>
      <c r="T134" s="51">
        <f t="shared" si="20"/>
        <v>45973</v>
      </c>
      <c r="U134" s="134"/>
      <c r="V134" s="135"/>
      <c r="W134" s="135"/>
      <c r="X134" s="135"/>
      <c r="Y134" s="135"/>
      <c r="Z134" s="135"/>
      <c r="AA134" s="136"/>
      <c r="AB134" s="136"/>
      <c r="AC134" s="136"/>
      <c r="AD134" s="136"/>
      <c r="AE134" s="136"/>
      <c r="AF134" s="136"/>
      <c r="AG134" s="136"/>
      <c r="AH134" s="135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</row>
    <row r="135" spans="3:50" ht="15.75" thickBot="1">
      <c r="C135" s="234" t="s">
        <v>159</v>
      </c>
      <c r="D135" s="231"/>
      <c r="E135" s="231"/>
      <c r="F135" s="231"/>
      <c r="G135" s="231"/>
      <c r="H135" s="231"/>
      <c r="I135" s="231"/>
      <c r="J135" s="137"/>
      <c r="K135" s="156">
        <f t="shared" ca="1" si="19"/>
        <v>1E-4</v>
      </c>
      <c r="L135" s="162"/>
      <c r="M135" s="108" t="s">
        <v>4</v>
      </c>
      <c r="N135" s="163" t="s">
        <v>14</v>
      </c>
      <c r="O135" s="163" t="s">
        <v>11</v>
      </c>
      <c r="P135" s="163"/>
      <c r="Q135" s="163"/>
      <c r="R135" s="164"/>
      <c r="S135" s="147"/>
      <c r="T135" s="51">
        <f t="shared" si="20"/>
        <v>45973</v>
      </c>
      <c r="U135" s="165"/>
      <c r="V135" s="166"/>
      <c r="W135" s="166"/>
      <c r="X135" s="166"/>
      <c r="Y135" s="166"/>
      <c r="Z135" s="166"/>
      <c r="AA135" s="167"/>
      <c r="AB135" s="167"/>
      <c r="AC135" s="167"/>
      <c r="AD135" s="167"/>
      <c r="AE135" s="167"/>
      <c r="AF135" s="167"/>
      <c r="AG135" s="167"/>
      <c r="AH135" s="166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</row>
    <row r="136" spans="3:50" ht="15.75">
      <c r="C136" s="220">
        <f>$C$3+(D136*7)</f>
        <v>46085</v>
      </c>
      <c r="D136" s="222">
        <v>-4</v>
      </c>
      <c r="E136" s="224" t="s">
        <v>40</v>
      </c>
      <c r="F136" s="224"/>
      <c r="G136" s="224"/>
      <c r="H136" s="224"/>
      <c r="I136" s="225"/>
      <c r="J136" s="213">
        <f>SUM(J138:J160)/COUNTA(C138:I160)</f>
        <v>0</v>
      </c>
      <c r="K136" s="213">
        <f ca="1">AVERAGE(K138:K160)</f>
        <v>1E-4</v>
      </c>
      <c r="L136" s="65"/>
      <c r="M136" s="66"/>
      <c r="N136" s="67"/>
      <c r="O136" s="67"/>
      <c r="P136" s="67"/>
      <c r="Q136" s="67"/>
      <c r="R136" s="68"/>
      <c r="S136" s="69"/>
      <c r="T136" s="70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</row>
    <row r="137" spans="3:50" ht="16.5" thickBot="1">
      <c r="C137" s="221"/>
      <c r="D137" s="223"/>
      <c r="E137" s="226" t="s">
        <v>160</v>
      </c>
      <c r="F137" s="226"/>
      <c r="G137" s="226"/>
      <c r="H137" s="226"/>
      <c r="I137" s="227"/>
      <c r="J137" s="214"/>
      <c r="K137" s="214"/>
      <c r="L137" s="65"/>
      <c r="M137" s="66"/>
      <c r="N137" s="67"/>
      <c r="O137" s="67"/>
      <c r="P137" s="67"/>
      <c r="Q137" s="67"/>
      <c r="R137" s="68"/>
      <c r="S137" s="69"/>
      <c r="T137" s="70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</row>
    <row r="138" spans="3:50">
      <c r="C138" s="233" t="s">
        <v>161</v>
      </c>
      <c r="D138" s="218"/>
      <c r="E138" s="218"/>
      <c r="F138" s="218"/>
      <c r="G138" s="218"/>
      <c r="H138" s="218"/>
      <c r="I138" s="219"/>
      <c r="J138" s="72"/>
      <c r="K138" s="73">
        <f t="shared" ref="K138:K160" ca="1" si="21">IF($C$136-$G$8&lt;0%,100%,0.01%)</f>
        <v>1E-4</v>
      </c>
      <c r="L138" s="100"/>
      <c r="M138" s="75"/>
      <c r="N138" s="76"/>
      <c r="O138" s="76"/>
      <c r="P138" s="76"/>
      <c r="Q138" s="76"/>
      <c r="R138" s="77"/>
      <c r="S138" s="78"/>
      <c r="T138" s="51">
        <f>$C$35+S138</f>
        <v>45973</v>
      </c>
      <c r="U138" s="102"/>
      <c r="V138" s="103"/>
      <c r="W138" s="103"/>
      <c r="X138" s="81"/>
      <c r="Y138" s="103"/>
      <c r="Z138" s="103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</row>
    <row r="139" spans="3:50">
      <c r="C139" s="207" t="s">
        <v>162</v>
      </c>
      <c r="D139" s="208"/>
      <c r="E139" s="208"/>
      <c r="F139" s="208"/>
      <c r="G139" s="208"/>
      <c r="H139" s="208"/>
      <c r="I139" s="209"/>
      <c r="J139" s="44"/>
      <c r="K139" s="45">
        <f t="shared" ca="1" si="21"/>
        <v>1E-4</v>
      </c>
      <c r="L139" s="55"/>
      <c r="M139" s="56" t="s">
        <v>4</v>
      </c>
      <c r="N139" s="57"/>
      <c r="O139" s="57"/>
      <c r="P139" s="57"/>
      <c r="Q139" s="57"/>
      <c r="R139" s="58"/>
      <c r="S139" s="59"/>
      <c r="T139" s="51">
        <f t="shared" ref="T139:T160" si="22">$C$35+S139</f>
        <v>45973</v>
      </c>
      <c r="U139" s="52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</row>
    <row r="140" spans="3:50">
      <c r="C140" s="207" t="s">
        <v>163</v>
      </c>
      <c r="D140" s="208"/>
      <c r="E140" s="208"/>
      <c r="F140" s="208"/>
      <c r="G140" s="208"/>
      <c r="H140" s="208"/>
      <c r="I140" s="209"/>
      <c r="J140" s="45"/>
      <c r="K140" s="45">
        <f t="shared" ca="1" si="21"/>
        <v>1E-4</v>
      </c>
      <c r="L140" s="55"/>
      <c r="M140" s="56" t="s">
        <v>4</v>
      </c>
      <c r="N140" s="57"/>
      <c r="O140" s="57"/>
      <c r="P140" s="57"/>
      <c r="Q140" s="57"/>
      <c r="R140" s="58"/>
      <c r="S140" s="59"/>
      <c r="T140" s="51">
        <f t="shared" si="22"/>
        <v>45973</v>
      </c>
      <c r="U140" s="84"/>
      <c r="V140" s="85"/>
      <c r="W140" s="85"/>
      <c r="X140" s="53"/>
      <c r="Y140" s="85"/>
      <c r="Z140" s="85"/>
      <c r="AA140" s="53"/>
      <c r="AB140" s="53"/>
      <c r="AC140" s="53"/>
      <c r="AD140" s="53"/>
      <c r="AE140" s="53"/>
      <c r="AF140" s="53"/>
      <c r="AG140" s="53"/>
      <c r="AH140" s="85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</row>
    <row r="141" spans="3:50">
      <c r="C141" s="207" t="s">
        <v>164</v>
      </c>
      <c r="D141" s="208"/>
      <c r="E141" s="208"/>
      <c r="F141" s="208"/>
      <c r="G141" s="208"/>
      <c r="H141" s="208"/>
      <c r="I141" s="209"/>
      <c r="J141" s="44"/>
      <c r="K141" s="45">
        <f t="shared" ca="1" si="21"/>
        <v>1E-4</v>
      </c>
      <c r="L141" s="55"/>
      <c r="M141" s="56" t="s">
        <v>4</v>
      </c>
      <c r="N141" s="57"/>
      <c r="O141" s="57"/>
      <c r="P141" s="57"/>
      <c r="Q141" s="57"/>
      <c r="R141" s="58"/>
      <c r="S141" s="59"/>
      <c r="T141" s="51">
        <f t="shared" si="22"/>
        <v>45973</v>
      </c>
      <c r="U141" s="52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</row>
    <row r="142" spans="3:50">
      <c r="C142" s="207" t="s">
        <v>165</v>
      </c>
      <c r="D142" s="208"/>
      <c r="E142" s="208"/>
      <c r="F142" s="208"/>
      <c r="G142" s="208"/>
      <c r="H142" s="208"/>
      <c r="I142" s="209"/>
      <c r="J142" s="44"/>
      <c r="K142" s="45">
        <f t="shared" ca="1" si="21"/>
        <v>1E-4</v>
      </c>
      <c r="L142" s="55"/>
      <c r="M142" s="56" t="s">
        <v>4</v>
      </c>
      <c r="N142" s="57"/>
      <c r="O142" s="57"/>
      <c r="P142" s="57"/>
      <c r="Q142" s="57"/>
      <c r="R142" s="58"/>
      <c r="S142" s="59"/>
      <c r="T142" s="51">
        <f t="shared" si="22"/>
        <v>45973</v>
      </c>
      <c r="U142" s="52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</row>
    <row r="143" spans="3:50">
      <c r="C143" s="207" t="s">
        <v>166</v>
      </c>
      <c r="D143" s="208"/>
      <c r="E143" s="208"/>
      <c r="F143" s="208"/>
      <c r="G143" s="208"/>
      <c r="H143" s="208"/>
      <c r="I143" s="209"/>
      <c r="J143" s="44"/>
      <c r="K143" s="45">
        <f t="shared" ca="1" si="21"/>
        <v>1E-4</v>
      </c>
      <c r="L143" s="55"/>
      <c r="M143" s="56" t="s">
        <v>4</v>
      </c>
      <c r="N143" s="57"/>
      <c r="O143" s="57"/>
      <c r="P143" s="57"/>
      <c r="Q143" s="57"/>
      <c r="R143" s="58"/>
      <c r="S143" s="59"/>
      <c r="T143" s="51">
        <f t="shared" si="22"/>
        <v>45973</v>
      </c>
      <c r="U143" s="84"/>
      <c r="V143" s="85"/>
      <c r="W143" s="85"/>
      <c r="X143" s="85"/>
      <c r="Y143" s="85"/>
      <c r="Z143" s="85"/>
      <c r="AA143" s="53"/>
      <c r="AB143" s="54"/>
      <c r="AC143" s="54"/>
      <c r="AD143" s="54"/>
      <c r="AE143" s="53"/>
      <c r="AF143" s="53"/>
      <c r="AG143" s="53"/>
      <c r="AH143" s="85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</row>
    <row r="144" spans="3:50">
      <c r="C144" s="207" t="s">
        <v>167</v>
      </c>
      <c r="D144" s="208"/>
      <c r="E144" s="208"/>
      <c r="F144" s="208"/>
      <c r="G144" s="208"/>
      <c r="H144" s="208"/>
      <c r="I144" s="209"/>
      <c r="J144" s="45"/>
      <c r="K144" s="45">
        <f t="shared" ca="1" si="21"/>
        <v>1E-4</v>
      </c>
      <c r="L144" s="55"/>
      <c r="M144" s="56" t="s">
        <v>4</v>
      </c>
      <c r="N144" s="57"/>
      <c r="O144" s="57"/>
      <c r="P144" s="57"/>
      <c r="Q144" s="57"/>
      <c r="R144" s="58"/>
      <c r="S144" s="59"/>
      <c r="T144" s="51">
        <f t="shared" si="22"/>
        <v>45973</v>
      </c>
      <c r="U144" s="84"/>
      <c r="V144" s="85"/>
      <c r="W144" s="85"/>
      <c r="X144" s="85"/>
      <c r="Y144" s="85"/>
      <c r="Z144" s="85"/>
      <c r="AA144" s="53"/>
      <c r="AB144" s="53"/>
      <c r="AC144" s="53"/>
      <c r="AD144" s="53"/>
      <c r="AE144" s="53"/>
      <c r="AF144" s="53"/>
      <c r="AG144" s="53"/>
      <c r="AH144" s="85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</row>
    <row r="145" spans="3:50">
      <c r="C145" s="207" t="s">
        <v>168</v>
      </c>
      <c r="D145" s="208"/>
      <c r="E145" s="208"/>
      <c r="F145" s="208"/>
      <c r="G145" s="208"/>
      <c r="H145" s="208"/>
      <c r="I145" s="209"/>
      <c r="J145" s="44"/>
      <c r="K145" s="45">
        <f t="shared" ca="1" si="21"/>
        <v>1E-4</v>
      </c>
      <c r="L145" s="55"/>
      <c r="M145" s="56"/>
      <c r="N145" s="57"/>
      <c r="O145" s="57"/>
      <c r="P145" s="57"/>
      <c r="Q145" s="57"/>
      <c r="R145" s="58"/>
      <c r="S145" s="59"/>
      <c r="T145" s="51">
        <f t="shared" si="22"/>
        <v>45973</v>
      </c>
      <c r="U145" s="84"/>
      <c r="V145" s="85"/>
      <c r="W145" s="85"/>
      <c r="X145" s="85"/>
      <c r="Y145" s="85"/>
      <c r="Z145" s="85"/>
      <c r="AA145" s="53"/>
      <c r="AB145" s="54"/>
      <c r="AC145" s="54"/>
      <c r="AD145" s="54"/>
      <c r="AE145" s="53"/>
      <c r="AF145" s="53"/>
      <c r="AG145" s="53"/>
      <c r="AH145" s="85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</row>
    <row r="146" spans="3:50">
      <c r="C146" s="207" t="s">
        <v>169</v>
      </c>
      <c r="D146" s="208"/>
      <c r="E146" s="208"/>
      <c r="F146" s="208"/>
      <c r="G146" s="208"/>
      <c r="H146" s="208"/>
      <c r="I146" s="209"/>
      <c r="J146" s="44"/>
      <c r="K146" s="45">
        <f t="shared" ca="1" si="21"/>
        <v>1E-4</v>
      </c>
      <c r="L146" s="55"/>
      <c r="M146" s="56" t="s">
        <v>11</v>
      </c>
      <c r="N146" s="57"/>
      <c r="O146" s="57"/>
      <c r="P146" s="57"/>
      <c r="Q146" s="57"/>
      <c r="R146" s="58"/>
      <c r="S146" s="59"/>
      <c r="T146" s="51">
        <f t="shared" si="22"/>
        <v>45973</v>
      </c>
      <c r="U146" s="84"/>
      <c r="V146" s="85"/>
      <c r="W146" s="85"/>
      <c r="X146" s="85"/>
      <c r="Y146" s="85"/>
      <c r="Z146" s="85"/>
      <c r="AA146" s="53"/>
      <c r="AB146" s="54"/>
      <c r="AC146" s="54"/>
      <c r="AD146" s="54"/>
      <c r="AE146" s="53"/>
      <c r="AF146" s="53"/>
      <c r="AG146" s="53"/>
      <c r="AH146" s="85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</row>
    <row r="147" spans="3:50" ht="15" customHeight="1">
      <c r="C147" s="207" t="s">
        <v>170</v>
      </c>
      <c r="D147" s="208"/>
      <c r="E147" s="208"/>
      <c r="F147" s="208"/>
      <c r="G147" s="208"/>
      <c r="H147" s="208"/>
      <c r="I147" s="209"/>
      <c r="J147" s="131"/>
      <c r="K147" s="156">
        <f t="shared" ca="1" si="21"/>
        <v>1E-4</v>
      </c>
      <c r="L147" s="132"/>
      <c r="M147" s="125" t="s">
        <v>14</v>
      </c>
      <c r="N147" s="151" t="s">
        <v>11</v>
      </c>
      <c r="O147" s="151"/>
      <c r="P147" s="151"/>
      <c r="Q147" s="151"/>
      <c r="R147" s="87"/>
      <c r="S147" s="133"/>
      <c r="T147" s="51">
        <f t="shared" si="22"/>
        <v>45973</v>
      </c>
      <c r="U147" s="134"/>
      <c r="V147" s="135"/>
      <c r="W147" s="135"/>
      <c r="X147" s="135"/>
      <c r="Y147" s="135"/>
      <c r="Z147" s="135"/>
      <c r="AA147" s="136"/>
      <c r="AB147" s="168"/>
      <c r="AC147" s="168"/>
      <c r="AD147" s="168"/>
      <c r="AE147" s="136"/>
      <c r="AF147" s="136"/>
      <c r="AG147" s="136"/>
      <c r="AH147" s="135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</row>
    <row r="148" spans="3:50" ht="15" customHeight="1">
      <c r="C148" s="207" t="s">
        <v>171</v>
      </c>
      <c r="D148" s="208"/>
      <c r="E148" s="208"/>
      <c r="F148" s="208"/>
      <c r="G148" s="208"/>
      <c r="H148" s="208"/>
      <c r="I148" s="209"/>
      <c r="J148" s="131"/>
      <c r="K148" s="156">
        <f t="shared" ca="1" si="21"/>
        <v>1E-4</v>
      </c>
      <c r="L148" s="132"/>
      <c r="M148" s="125" t="s">
        <v>14</v>
      </c>
      <c r="N148" s="151" t="s">
        <v>11</v>
      </c>
      <c r="O148" s="151"/>
      <c r="P148" s="151"/>
      <c r="Q148" s="151"/>
      <c r="R148" s="87"/>
      <c r="S148" s="133"/>
      <c r="T148" s="51">
        <f t="shared" si="22"/>
        <v>45973</v>
      </c>
      <c r="U148" s="134"/>
      <c r="V148" s="135"/>
      <c r="W148" s="135"/>
      <c r="X148" s="135"/>
      <c r="Y148" s="135"/>
      <c r="Z148" s="135"/>
      <c r="AA148" s="136"/>
      <c r="AB148" s="168"/>
      <c r="AC148" s="168"/>
      <c r="AD148" s="168"/>
      <c r="AE148" s="136"/>
      <c r="AF148" s="136"/>
      <c r="AG148" s="136"/>
      <c r="AH148" s="135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</row>
    <row r="149" spans="3:50" ht="15" customHeight="1">
      <c r="C149" s="207" t="s">
        <v>172</v>
      </c>
      <c r="D149" s="208"/>
      <c r="E149" s="208"/>
      <c r="F149" s="208"/>
      <c r="G149" s="208"/>
      <c r="H149" s="208"/>
      <c r="I149" s="209"/>
      <c r="J149" s="131"/>
      <c r="K149" s="156">
        <f t="shared" ca="1" si="21"/>
        <v>1E-4</v>
      </c>
      <c r="L149" s="132"/>
      <c r="M149" s="125" t="s">
        <v>14</v>
      </c>
      <c r="N149" s="151" t="s">
        <v>11</v>
      </c>
      <c r="O149" s="151"/>
      <c r="P149" s="151"/>
      <c r="Q149" s="151"/>
      <c r="R149" s="87"/>
      <c r="S149" s="133"/>
      <c r="T149" s="51">
        <f t="shared" si="22"/>
        <v>45973</v>
      </c>
      <c r="U149" s="134"/>
      <c r="V149" s="135"/>
      <c r="W149" s="135"/>
      <c r="X149" s="135"/>
      <c r="Y149" s="135"/>
      <c r="Z149" s="135"/>
      <c r="AA149" s="136"/>
      <c r="AB149" s="168"/>
      <c r="AC149" s="168"/>
      <c r="AD149" s="168"/>
      <c r="AE149" s="136"/>
      <c r="AF149" s="136"/>
      <c r="AG149" s="136"/>
      <c r="AH149" s="135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</row>
    <row r="150" spans="3:50" ht="15" customHeight="1">
      <c r="C150" s="207" t="s">
        <v>173</v>
      </c>
      <c r="D150" s="208"/>
      <c r="E150" s="208"/>
      <c r="F150" s="208"/>
      <c r="G150" s="208"/>
      <c r="H150" s="208"/>
      <c r="I150" s="209"/>
      <c r="J150" s="131"/>
      <c r="K150" s="156">
        <f t="shared" ca="1" si="21"/>
        <v>1E-4</v>
      </c>
      <c r="L150" s="132"/>
      <c r="M150" s="125" t="s">
        <v>14</v>
      </c>
      <c r="N150" s="151" t="s">
        <v>11</v>
      </c>
      <c r="O150" s="151" t="s">
        <v>23</v>
      </c>
      <c r="P150" s="151"/>
      <c r="Q150" s="151"/>
      <c r="R150" s="87"/>
      <c r="S150" s="133"/>
      <c r="T150" s="51">
        <f t="shared" si="22"/>
        <v>45973</v>
      </c>
      <c r="U150" s="134"/>
      <c r="V150" s="135"/>
      <c r="W150" s="135"/>
      <c r="X150" s="135"/>
      <c r="Y150" s="135"/>
      <c r="Z150" s="135"/>
      <c r="AA150" s="136"/>
      <c r="AB150" s="168"/>
      <c r="AC150" s="168"/>
      <c r="AD150" s="168"/>
      <c r="AE150" s="136"/>
      <c r="AF150" s="136"/>
      <c r="AG150" s="136"/>
      <c r="AH150" s="135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</row>
    <row r="151" spans="3:50" ht="15" customHeight="1">
      <c r="C151" s="207" t="s">
        <v>174</v>
      </c>
      <c r="D151" s="208"/>
      <c r="E151" s="208"/>
      <c r="F151" s="208"/>
      <c r="G151" s="208"/>
      <c r="H151" s="208"/>
      <c r="I151" s="209"/>
      <c r="J151" s="131"/>
      <c r="K151" s="156">
        <f t="shared" ca="1" si="21"/>
        <v>1E-4</v>
      </c>
      <c r="L151" s="132"/>
      <c r="M151" s="125" t="s">
        <v>4</v>
      </c>
      <c r="N151" s="151"/>
      <c r="O151" s="151"/>
      <c r="P151" s="151"/>
      <c r="Q151" s="151"/>
      <c r="R151" s="87"/>
      <c r="S151" s="133"/>
      <c r="T151" s="51">
        <f t="shared" si="22"/>
        <v>45973</v>
      </c>
      <c r="U151" s="134"/>
      <c r="V151" s="135"/>
      <c r="W151" s="135"/>
      <c r="X151" s="135"/>
      <c r="Y151" s="135"/>
      <c r="Z151" s="135"/>
      <c r="AA151" s="136"/>
      <c r="AB151" s="168"/>
      <c r="AC151" s="168"/>
      <c r="AD151" s="168"/>
      <c r="AE151" s="136"/>
      <c r="AF151" s="136"/>
      <c r="AG151" s="136"/>
      <c r="AH151" s="135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</row>
    <row r="152" spans="3:50" ht="15" customHeight="1">
      <c r="C152" s="207" t="s">
        <v>175</v>
      </c>
      <c r="D152" s="208"/>
      <c r="E152" s="208"/>
      <c r="F152" s="208"/>
      <c r="G152" s="208"/>
      <c r="H152" s="208"/>
      <c r="I152" s="209"/>
      <c r="J152" s="131"/>
      <c r="K152" s="156">
        <f t="shared" ca="1" si="21"/>
        <v>1E-4</v>
      </c>
      <c r="L152" s="132"/>
      <c r="M152" s="125"/>
      <c r="N152" s="151"/>
      <c r="O152" s="151"/>
      <c r="P152" s="151"/>
      <c r="Q152" s="151"/>
      <c r="R152" s="87"/>
      <c r="S152" s="133"/>
      <c r="T152" s="51">
        <f t="shared" si="22"/>
        <v>45973</v>
      </c>
      <c r="U152" s="134"/>
      <c r="V152" s="135"/>
      <c r="W152" s="135"/>
      <c r="X152" s="135"/>
      <c r="Y152" s="135"/>
      <c r="Z152" s="135"/>
      <c r="AA152" s="136"/>
      <c r="AB152" s="168"/>
      <c r="AC152" s="168"/>
      <c r="AD152" s="168"/>
      <c r="AE152" s="136"/>
      <c r="AF152" s="136"/>
      <c r="AG152" s="136"/>
      <c r="AH152" s="135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</row>
    <row r="153" spans="3:50" ht="15" customHeight="1">
      <c r="C153" s="207" t="s">
        <v>176</v>
      </c>
      <c r="D153" s="208"/>
      <c r="E153" s="208"/>
      <c r="F153" s="208"/>
      <c r="G153" s="208"/>
      <c r="H153" s="208"/>
      <c r="I153" s="209"/>
      <c r="J153" s="131"/>
      <c r="K153" s="156">
        <f t="shared" ca="1" si="21"/>
        <v>1E-4</v>
      </c>
      <c r="L153" s="132"/>
      <c r="M153" s="125" t="s">
        <v>4</v>
      </c>
      <c r="N153" s="151"/>
      <c r="O153" s="151"/>
      <c r="P153" s="151"/>
      <c r="Q153" s="151"/>
      <c r="R153" s="87"/>
      <c r="S153" s="133"/>
      <c r="T153" s="51">
        <f t="shared" si="22"/>
        <v>45973</v>
      </c>
      <c r="U153" s="134"/>
      <c r="V153" s="135"/>
      <c r="W153" s="135"/>
      <c r="X153" s="135"/>
      <c r="Y153" s="135"/>
      <c r="Z153" s="135"/>
      <c r="AA153" s="136"/>
      <c r="AB153" s="168"/>
      <c r="AC153" s="168"/>
      <c r="AD153" s="168"/>
      <c r="AE153" s="136"/>
      <c r="AF153" s="136"/>
      <c r="AG153" s="136"/>
      <c r="AH153" s="135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</row>
    <row r="154" spans="3:50" ht="15" customHeight="1">
      <c r="C154" s="207" t="s">
        <v>177</v>
      </c>
      <c r="D154" s="208"/>
      <c r="E154" s="208"/>
      <c r="F154" s="208"/>
      <c r="G154" s="208"/>
      <c r="H154" s="208"/>
      <c r="I154" s="209"/>
      <c r="J154" s="131"/>
      <c r="K154" s="156">
        <f t="shared" ca="1" si="21"/>
        <v>1E-4</v>
      </c>
      <c r="L154" s="132"/>
      <c r="M154" s="125" t="s">
        <v>4</v>
      </c>
      <c r="N154" s="151" t="s">
        <v>21</v>
      </c>
      <c r="O154" s="151"/>
      <c r="P154" s="151"/>
      <c r="Q154" s="151"/>
      <c r="R154" s="87"/>
      <c r="S154" s="133"/>
      <c r="T154" s="51">
        <f t="shared" si="22"/>
        <v>45973</v>
      </c>
      <c r="U154" s="134"/>
      <c r="V154" s="135"/>
      <c r="W154" s="135"/>
      <c r="X154" s="135"/>
      <c r="Y154" s="135"/>
      <c r="Z154" s="135"/>
      <c r="AA154" s="136"/>
      <c r="AB154" s="168"/>
      <c r="AC154" s="168"/>
      <c r="AD154" s="168"/>
      <c r="AE154" s="136"/>
      <c r="AF154" s="136"/>
      <c r="AG154" s="136"/>
      <c r="AH154" s="135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</row>
    <row r="155" spans="3:50" ht="15" customHeight="1">
      <c r="C155" s="207" t="s">
        <v>178</v>
      </c>
      <c r="D155" s="208"/>
      <c r="E155" s="208"/>
      <c r="F155" s="208"/>
      <c r="G155" s="208"/>
      <c r="H155" s="208"/>
      <c r="I155" s="209"/>
      <c r="J155" s="131"/>
      <c r="K155" s="156">
        <f t="shared" ca="1" si="21"/>
        <v>1E-4</v>
      </c>
      <c r="L155" s="132"/>
      <c r="M155" s="125"/>
      <c r="N155" s="151"/>
      <c r="O155" s="151"/>
      <c r="P155" s="151"/>
      <c r="Q155" s="151"/>
      <c r="R155" s="87"/>
      <c r="S155" s="133"/>
      <c r="T155" s="51">
        <f t="shared" si="22"/>
        <v>45973</v>
      </c>
      <c r="U155" s="134"/>
      <c r="V155" s="135"/>
      <c r="W155" s="135"/>
      <c r="X155" s="135"/>
      <c r="Y155" s="135"/>
      <c r="Z155" s="135"/>
      <c r="AA155" s="136"/>
      <c r="AB155" s="168"/>
      <c r="AC155" s="168"/>
      <c r="AD155" s="168"/>
      <c r="AE155" s="136"/>
      <c r="AF155" s="136"/>
      <c r="AG155" s="136"/>
      <c r="AH155" s="135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</row>
    <row r="156" spans="3:50" ht="15" customHeight="1">
      <c r="C156" s="207" t="s">
        <v>179</v>
      </c>
      <c r="D156" s="208"/>
      <c r="E156" s="208"/>
      <c r="F156" s="208"/>
      <c r="G156" s="208"/>
      <c r="H156" s="208"/>
      <c r="I156" s="209"/>
      <c r="J156" s="131"/>
      <c r="K156" s="156">
        <f t="shared" ca="1" si="21"/>
        <v>1E-4</v>
      </c>
      <c r="L156" s="132"/>
      <c r="M156" s="125" t="s">
        <v>14</v>
      </c>
      <c r="N156" s="151" t="s">
        <v>11</v>
      </c>
      <c r="O156" s="151"/>
      <c r="P156" s="151"/>
      <c r="Q156" s="151"/>
      <c r="R156" s="87"/>
      <c r="S156" s="133"/>
      <c r="T156" s="51">
        <f t="shared" si="22"/>
        <v>45973</v>
      </c>
      <c r="U156" s="134"/>
      <c r="V156" s="135"/>
      <c r="W156" s="135"/>
      <c r="X156" s="135"/>
      <c r="Y156" s="135"/>
      <c r="Z156" s="135"/>
      <c r="AA156" s="136"/>
      <c r="AB156" s="168"/>
      <c r="AC156" s="168"/>
      <c r="AD156" s="168"/>
      <c r="AE156" s="136"/>
      <c r="AF156" s="136"/>
      <c r="AG156" s="136"/>
      <c r="AH156" s="135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</row>
    <row r="157" spans="3:50" ht="15" customHeight="1">
      <c r="C157" s="207" t="s">
        <v>180</v>
      </c>
      <c r="D157" s="208"/>
      <c r="E157" s="208"/>
      <c r="F157" s="208"/>
      <c r="G157" s="208"/>
      <c r="H157" s="208"/>
      <c r="I157" s="209"/>
      <c r="J157" s="131"/>
      <c r="K157" s="156">
        <f t="shared" ca="1" si="21"/>
        <v>1E-4</v>
      </c>
      <c r="L157" s="132"/>
      <c r="M157" s="125" t="s">
        <v>4</v>
      </c>
      <c r="N157" s="151"/>
      <c r="O157" s="151"/>
      <c r="P157" s="151"/>
      <c r="Q157" s="151"/>
      <c r="R157" s="87"/>
      <c r="S157" s="133"/>
      <c r="T157" s="51">
        <f t="shared" si="22"/>
        <v>45973</v>
      </c>
      <c r="U157" s="134"/>
      <c r="V157" s="135"/>
      <c r="W157" s="135"/>
      <c r="X157" s="135"/>
      <c r="Y157" s="135"/>
      <c r="Z157" s="135"/>
      <c r="AA157" s="136"/>
      <c r="AB157" s="168"/>
      <c r="AC157" s="168"/>
      <c r="AD157" s="168"/>
      <c r="AE157" s="136"/>
      <c r="AF157" s="136"/>
      <c r="AG157" s="136"/>
      <c r="AH157" s="135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</row>
    <row r="158" spans="3:50" ht="15" customHeight="1">
      <c r="C158" s="207" t="s">
        <v>181</v>
      </c>
      <c r="D158" s="208"/>
      <c r="E158" s="208"/>
      <c r="F158" s="208"/>
      <c r="G158" s="208"/>
      <c r="H158" s="208"/>
      <c r="I158" s="209"/>
      <c r="J158" s="131"/>
      <c r="K158" s="156">
        <f t="shared" ca="1" si="21"/>
        <v>1E-4</v>
      </c>
      <c r="L158" s="132"/>
      <c r="M158" s="125" t="s">
        <v>23</v>
      </c>
      <c r="N158" s="151"/>
      <c r="O158" s="151"/>
      <c r="P158" s="151"/>
      <c r="Q158" s="151"/>
      <c r="R158" s="87"/>
      <c r="S158" s="133"/>
      <c r="T158" s="51">
        <f t="shared" si="22"/>
        <v>45973</v>
      </c>
      <c r="U158" s="134"/>
      <c r="V158" s="135"/>
      <c r="W158" s="135"/>
      <c r="X158" s="135"/>
      <c r="Y158" s="135"/>
      <c r="Z158" s="135"/>
      <c r="AA158" s="136"/>
      <c r="AB158" s="168"/>
      <c r="AC158" s="168"/>
      <c r="AD158" s="168"/>
      <c r="AE158" s="136"/>
      <c r="AF158" s="136"/>
      <c r="AG158" s="136"/>
      <c r="AH158" s="135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</row>
    <row r="159" spans="3:50" ht="15" customHeight="1">
      <c r="C159" s="207" t="s">
        <v>182</v>
      </c>
      <c r="D159" s="208"/>
      <c r="E159" s="208"/>
      <c r="F159" s="208"/>
      <c r="G159" s="208"/>
      <c r="H159" s="208"/>
      <c r="I159" s="209"/>
      <c r="J159" s="131"/>
      <c r="K159" s="156">
        <f t="shared" ca="1" si="21"/>
        <v>1E-4</v>
      </c>
      <c r="L159" s="132"/>
      <c r="M159" s="125" t="s">
        <v>14</v>
      </c>
      <c r="N159" s="151" t="s">
        <v>11</v>
      </c>
      <c r="O159" s="151"/>
      <c r="P159" s="151"/>
      <c r="Q159" s="151"/>
      <c r="R159" s="87"/>
      <c r="S159" s="133"/>
      <c r="T159" s="51">
        <f t="shared" si="22"/>
        <v>45973</v>
      </c>
      <c r="U159" s="134"/>
      <c r="V159" s="135"/>
      <c r="W159" s="135"/>
      <c r="X159" s="135"/>
      <c r="Y159" s="135"/>
      <c r="Z159" s="135"/>
      <c r="AA159" s="136"/>
      <c r="AB159" s="168"/>
      <c r="AC159" s="168"/>
      <c r="AD159" s="168"/>
      <c r="AE159" s="136"/>
      <c r="AF159" s="136"/>
      <c r="AG159" s="136"/>
      <c r="AH159" s="135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</row>
    <row r="160" spans="3:50" ht="15" customHeight="1" thickBot="1">
      <c r="C160" s="230" t="s">
        <v>183</v>
      </c>
      <c r="D160" s="231"/>
      <c r="E160" s="231"/>
      <c r="F160" s="231"/>
      <c r="G160" s="231"/>
      <c r="H160" s="231"/>
      <c r="I160" s="232"/>
      <c r="J160" s="131"/>
      <c r="K160" s="156">
        <f t="shared" ca="1" si="21"/>
        <v>1E-4</v>
      </c>
      <c r="L160" s="132"/>
      <c r="M160" s="125" t="s">
        <v>4</v>
      </c>
      <c r="N160" s="151"/>
      <c r="O160" s="151"/>
      <c r="P160" s="151"/>
      <c r="Q160" s="151"/>
      <c r="R160" s="87"/>
      <c r="S160" s="133"/>
      <c r="T160" s="51">
        <f t="shared" si="22"/>
        <v>45973</v>
      </c>
      <c r="U160" s="134"/>
      <c r="V160" s="135"/>
      <c r="W160" s="135"/>
      <c r="X160" s="135"/>
      <c r="Y160" s="135"/>
      <c r="Z160" s="135"/>
      <c r="AA160" s="136"/>
      <c r="AB160" s="168"/>
      <c r="AC160" s="168"/>
      <c r="AD160" s="168"/>
      <c r="AE160" s="136"/>
      <c r="AF160" s="136"/>
      <c r="AG160" s="136"/>
      <c r="AH160" s="135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</row>
    <row r="161" spans="3:50" ht="15.75">
      <c r="C161" s="220">
        <f>$C$3+(D161*7)</f>
        <v>46099</v>
      </c>
      <c r="D161" s="222">
        <v>-2</v>
      </c>
      <c r="E161" s="224" t="s">
        <v>40</v>
      </c>
      <c r="F161" s="224"/>
      <c r="G161" s="224"/>
      <c r="H161" s="224"/>
      <c r="I161" s="225"/>
      <c r="J161" s="213">
        <f>SUM(J163:J173)/COUNTA(C163:I173)</f>
        <v>0</v>
      </c>
      <c r="K161" s="213">
        <f ca="1">AVERAGE(K163:K173)</f>
        <v>1.0000000000000003E-4</v>
      </c>
      <c r="L161" s="65"/>
      <c r="M161" s="66"/>
      <c r="N161" s="67"/>
      <c r="O161" s="67"/>
      <c r="P161" s="67"/>
      <c r="Q161" s="67"/>
      <c r="R161" s="68"/>
      <c r="S161" s="69"/>
      <c r="T161" s="70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</row>
    <row r="162" spans="3:50" ht="16.5" thickBot="1">
      <c r="C162" s="221"/>
      <c r="D162" s="223"/>
      <c r="E162" s="226" t="s">
        <v>184</v>
      </c>
      <c r="F162" s="226"/>
      <c r="G162" s="226"/>
      <c r="H162" s="226"/>
      <c r="I162" s="227"/>
      <c r="J162" s="214"/>
      <c r="K162" s="214"/>
      <c r="L162" s="65"/>
      <c r="M162" s="66"/>
      <c r="N162" s="67"/>
      <c r="O162" s="67"/>
      <c r="P162" s="67"/>
      <c r="Q162" s="67"/>
      <c r="R162" s="68"/>
      <c r="S162" s="69"/>
      <c r="T162" s="70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</row>
    <row r="163" spans="3:50">
      <c r="C163" s="217" t="s">
        <v>162</v>
      </c>
      <c r="D163" s="218"/>
      <c r="E163" s="218"/>
      <c r="F163" s="218"/>
      <c r="G163" s="218"/>
      <c r="H163" s="218"/>
      <c r="I163" s="219"/>
      <c r="J163" s="72"/>
      <c r="K163" s="156">
        <f t="shared" ref="K163:K173" ca="1" si="23">IF($C$161-$G$8&lt;0%,100%,0.01%)</f>
        <v>1E-4</v>
      </c>
      <c r="L163" s="100"/>
      <c r="M163" s="75" t="s">
        <v>4</v>
      </c>
      <c r="N163" s="76"/>
      <c r="O163" s="76"/>
      <c r="P163" s="76"/>
      <c r="Q163" s="76"/>
      <c r="R163" s="77"/>
      <c r="S163" s="78"/>
      <c r="T163" s="169"/>
      <c r="U163" s="102"/>
      <c r="V163" s="103"/>
      <c r="W163" s="103"/>
      <c r="X163" s="81"/>
      <c r="Y163" s="103"/>
      <c r="Z163" s="103"/>
      <c r="AA163" s="81"/>
      <c r="AB163" s="81"/>
      <c r="AC163" s="81"/>
      <c r="AD163" s="81"/>
      <c r="AE163" s="81"/>
      <c r="AF163" s="81"/>
      <c r="AG163" s="81"/>
      <c r="AH163" s="103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</row>
    <row r="164" spans="3:50">
      <c r="C164" s="207" t="s">
        <v>185</v>
      </c>
      <c r="D164" s="208"/>
      <c r="E164" s="208"/>
      <c r="F164" s="208"/>
      <c r="G164" s="208"/>
      <c r="H164" s="208"/>
      <c r="I164" s="209"/>
      <c r="J164" s="44"/>
      <c r="K164" s="156">
        <f t="shared" ca="1" si="23"/>
        <v>1E-4</v>
      </c>
      <c r="L164" s="55"/>
      <c r="M164" s="56" t="s">
        <v>4</v>
      </c>
      <c r="N164" s="57"/>
      <c r="O164" s="57"/>
      <c r="P164" s="57"/>
      <c r="Q164" s="57"/>
      <c r="R164" s="58"/>
      <c r="S164" s="59"/>
      <c r="T164" s="170"/>
      <c r="U164" s="52"/>
      <c r="V164" s="53"/>
      <c r="W164" s="53"/>
      <c r="X164" s="53"/>
      <c r="Y164" s="53"/>
      <c r="Z164" s="53"/>
      <c r="AA164" s="171"/>
      <c r="AB164" s="171"/>
      <c r="AC164" s="171"/>
      <c r="AD164" s="53"/>
      <c r="AE164" s="53"/>
      <c r="AF164" s="53"/>
      <c r="AG164" s="53"/>
      <c r="AH164" s="53"/>
      <c r="AI164" s="171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171"/>
    </row>
    <row r="165" spans="3:50">
      <c r="C165" s="207" t="s">
        <v>186</v>
      </c>
      <c r="D165" s="208"/>
      <c r="E165" s="208"/>
      <c r="F165" s="208"/>
      <c r="G165" s="208"/>
      <c r="H165" s="208"/>
      <c r="I165" s="209"/>
      <c r="J165" s="44"/>
      <c r="K165" s="156">
        <f t="shared" ca="1" si="23"/>
        <v>1E-4</v>
      </c>
      <c r="L165" s="55"/>
      <c r="M165" s="56" t="s">
        <v>4</v>
      </c>
      <c r="N165" s="57"/>
      <c r="O165" s="57"/>
      <c r="P165" s="57"/>
      <c r="Q165" s="57"/>
      <c r="R165" s="58"/>
      <c r="S165" s="59"/>
      <c r="T165" s="170"/>
      <c r="U165" s="52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171"/>
    </row>
    <row r="166" spans="3:50">
      <c r="C166" s="207" t="s">
        <v>187</v>
      </c>
      <c r="D166" s="208"/>
      <c r="E166" s="208"/>
      <c r="F166" s="208"/>
      <c r="G166" s="208"/>
      <c r="H166" s="208"/>
      <c r="I166" s="209"/>
      <c r="J166" s="131"/>
      <c r="K166" s="156">
        <f t="shared" ca="1" si="23"/>
        <v>1E-4</v>
      </c>
      <c r="L166" s="132"/>
      <c r="M166" s="125" t="s">
        <v>4</v>
      </c>
      <c r="N166" s="151"/>
      <c r="O166" s="151"/>
      <c r="P166" s="151"/>
      <c r="Q166" s="151"/>
      <c r="R166" s="87"/>
      <c r="S166" s="133"/>
      <c r="T166" s="172"/>
      <c r="U166" s="173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74"/>
    </row>
    <row r="167" spans="3:50" ht="22.5">
      <c r="C167" s="207" t="s">
        <v>188</v>
      </c>
      <c r="D167" s="208"/>
      <c r="E167" s="208"/>
      <c r="F167" s="208"/>
      <c r="G167" s="208"/>
      <c r="H167" s="208"/>
      <c r="I167" s="209"/>
      <c r="J167" s="131"/>
      <c r="K167" s="156">
        <f t="shared" ca="1" si="23"/>
        <v>1E-4</v>
      </c>
      <c r="L167" s="132"/>
      <c r="M167" s="125" t="s">
        <v>14</v>
      </c>
      <c r="N167" s="151" t="s">
        <v>11</v>
      </c>
      <c r="O167" s="151" t="s">
        <v>32</v>
      </c>
      <c r="P167" s="151" t="s">
        <v>23</v>
      </c>
      <c r="Q167" s="151"/>
      <c r="R167" s="87"/>
      <c r="S167" s="133"/>
      <c r="T167" s="172"/>
      <c r="U167" s="173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74"/>
    </row>
    <row r="168" spans="3:50" ht="22.5">
      <c r="C168" s="228" t="s">
        <v>189</v>
      </c>
      <c r="D168" s="208"/>
      <c r="E168" s="208"/>
      <c r="F168" s="208"/>
      <c r="G168" s="208"/>
      <c r="H168" s="208"/>
      <c r="I168" s="229"/>
      <c r="J168" s="175"/>
      <c r="K168" s="156">
        <f t="shared" ca="1" si="23"/>
        <v>1E-4</v>
      </c>
      <c r="L168" s="132"/>
      <c r="M168" s="125" t="s">
        <v>14</v>
      </c>
      <c r="N168" s="151" t="s">
        <v>11</v>
      </c>
      <c r="O168" s="151" t="s">
        <v>32</v>
      </c>
      <c r="P168" s="151"/>
      <c r="Q168" s="151"/>
      <c r="R168" s="87"/>
      <c r="S168" s="133"/>
      <c r="T168" s="172"/>
      <c r="U168" s="173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74"/>
    </row>
    <row r="169" spans="3:50">
      <c r="C169" s="207" t="s">
        <v>190</v>
      </c>
      <c r="D169" s="208"/>
      <c r="E169" s="208"/>
      <c r="F169" s="208"/>
      <c r="G169" s="208"/>
      <c r="H169" s="208"/>
      <c r="I169" s="209"/>
      <c r="J169" s="131"/>
      <c r="K169" s="156">
        <f t="shared" ca="1" si="23"/>
        <v>1E-4</v>
      </c>
      <c r="L169" s="132"/>
      <c r="M169" s="125" t="s">
        <v>4</v>
      </c>
      <c r="N169" s="151"/>
      <c r="O169" s="151"/>
      <c r="P169" s="151"/>
      <c r="Q169" s="151"/>
      <c r="R169" s="87"/>
      <c r="S169" s="133"/>
      <c r="T169" s="172"/>
      <c r="U169" s="173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74"/>
    </row>
    <row r="170" spans="3:50" ht="22.5">
      <c r="C170" s="207" t="s">
        <v>191</v>
      </c>
      <c r="D170" s="208"/>
      <c r="E170" s="208"/>
      <c r="F170" s="208"/>
      <c r="G170" s="208"/>
      <c r="H170" s="208"/>
      <c r="I170" s="209"/>
      <c r="J170" s="131"/>
      <c r="K170" s="156">
        <f t="shared" ca="1" si="23"/>
        <v>1E-4</v>
      </c>
      <c r="L170" s="132"/>
      <c r="M170" s="125" t="s">
        <v>14</v>
      </c>
      <c r="N170" s="151" t="s">
        <v>11</v>
      </c>
      <c r="O170" s="151" t="s">
        <v>21</v>
      </c>
      <c r="P170" s="151" t="s">
        <v>32</v>
      </c>
      <c r="Q170" s="151"/>
      <c r="R170" s="87"/>
      <c r="S170" s="133"/>
      <c r="T170" s="172"/>
      <c r="U170" s="173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74"/>
    </row>
    <row r="171" spans="3:50">
      <c r="C171" s="207" t="s">
        <v>192</v>
      </c>
      <c r="D171" s="208"/>
      <c r="E171" s="208"/>
      <c r="F171" s="208"/>
      <c r="G171" s="208"/>
      <c r="H171" s="208"/>
      <c r="I171" s="209"/>
      <c r="J171" s="131"/>
      <c r="K171" s="156">
        <f t="shared" ca="1" si="23"/>
        <v>1E-4</v>
      </c>
      <c r="L171" s="132"/>
      <c r="M171" s="125" t="s">
        <v>11</v>
      </c>
      <c r="N171" s="151"/>
      <c r="O171" s="151"/>
      <c r="P171" s="151"/>
      <c r="Q171" s="151"/>
      <c r="R171" s="87"/>
      <c r="S171" s="133"/>
      <c r="T171" s="172"/>
      <c r="U171" s="173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74"/>
    </row>
    <row r="172" spans="3:50">
      <c r="C172" s="207" t="s">
        <v>193</v>
      </c>
      <c r="D172" s="208"/>
      <c r="E172" s="208"/>
      <c r="F172" s="208"/>
      <c r="G172" s="208"/>
      <c r="H172" s="208"/>
      <c r="I172" s="209"/>
      <c r="J172" s="131"/>
      <c r="K172" s="156">
        <f t="shared" ca="1" si="23"/>
        <v>1E-4</v>
      </c>
      <c r="L172" s="132"/>
      <c r="M172" s="125" t="s">
        <v>4</v>
      </c>
      <c r="N172" s="151"/>
      <c r="O172" s="151"/>
      <c r="P172" s="151"/>
      <c r="Q172" s="151"/>
      <c r="R172" s="87"/>
      <c r="S172" s="133"/>
      <c r="T172" s="172"/>
      <c r="U172" s="173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74"/>
    </row>
    <row r="173" spans="3:50" ht="15.75" thickBot="1">
      <c r="C173" s="210" t="s">
        <v>194</v>
      </c>
      <c r="D173" s="211"/>
      <c r="E173" s="211"/>
      <c r="F173" s="211"/>
      <c r="G173" s="211"/>
      <c r="H173" s="211"/>
      <c r="I173" s="212"/>
      <c r="J173" s="137"/>
      <c r="K173" s="156">
        <f t="shared" ca="1" si="23"/>
        <v>1E-4</v>
      </c>
      <c r="L173" s="162"/>
      <c r="M173" s="108" t="s">
        <v>4</v>
      </c>
      <c r="N173" s="163"/>
      <c r="O173" s="163"/>
      <c r="P173" s="163"/>
      <c r="Q173" s="163"/>
      <c r="R173" s="164"/>
      <c r="S173" s="147"/>
      <c r="T173" s="176"/>
      <c r="U173" s="177"/>
      <c r="V173" s="167"/>
      <c r="W173" s="167"/>
      <c r="X173" s="167"/>
      <c r="Y173" s="167"/>
      <c r="Z173" s="167"/>
      <c r="AA173" s="178"/>
      <c r="AB173" s="167"/>
      <c r="AC173" s="167"/>
      <c r="AD173" s="167"/>
      <c r="AE173" s="167"/>
      <c r="AF173" s="167"/>
      <c r="AG173" s="167"/>
      <c r="AH173" s="167"/>
      <c r="AI173" s="178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78"/>
    </row>
    <row r="174" spans="3:50" ht="15.75">
      <c r="C174" s="220">
        <f>$C$3+(D174*7)</f>
        <v>46106</v>
      </c>
      <c r="D174" s="222">
        <v>-1</v>
      </c>
      <c r="E174" s="224" t="s">
        <v>195</v>
      </c>
      <c r="F174" s="224"/>
      <c r="G174" s="224"/>
      <c r="H174" s="224"/>
      <c r="I174" s="225"/>
      <c r="J174" s="213">
        <f>SUM(J176:J187)/COUNTA(C176:I187)</f>
        <v>0</v>
      </c>
      <c r="K174" s="213">
        <f ca="1">AVERAGE(K176:K187)</f>
        <v>1.0000000000000003E-4</v>
      </c>
      <c r="L174" s="65"/>
      <c r="M174" s="66"/>
      <c r="N174" s="67"/>
      <c r="O174" s="67"/>
      <c r="P174" s="67"/>
      <c r="Q174" s="67"/>
      <c r="R174" s="68"/>
      <c r="S174" s="69"/>
      <c r="T174" s="70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</row>
    <row r="175" spans="3:50" ht="16.5" thickBot="1">
      <c r="C175" s="221"/>
      <c r="D175" s="223"/>
      <c r="E175" s="226" t="s">
        <v>196</v>
      </c>
      <c r="F175" s="226"/>
      <c r="G175" s="226"/>
      <c r="H175" s="226"/>
      <c r="I175" s="227"/>
      <c r="J175" s="214"/>
      <c r="K175" s="214"/>
      <c r="L175" s="65"/>
      <c r="M175" s="66"/>
      <c r="N175" s="67"/>
      <c r="O175" s="67"/>
      <c r="P175" s="67"/>
      <c r="Q175" s="67"/>
      <c r="R175" s="68"/>
      <c r="S175" s="69"/>
      <c r="T175" s="70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</row>
    <row r="176" spans="3:50">
      <c r="C176" s="217" t="s">
        <v>162</v>
      </c>
      <c r="D176" s="218"/>
      <c r="E176" s="218"/>
      <c r="F176" s="218"/>
      <c r="G176" s="218"/>
      <c r="H176" s="218"/>
      <c r="I176" s="219"/>
      <c r="J176" s="179"/>
      <c r="K176" s="156">
        <f t="shared" ref="K176:K187" ca="1" si="24">IF($C$174-$G$8&lt;0%,100%,0.01%)</f>
        <v>1E-4</v>
      </c>
      <c r="L176" s="180"/>
      <c r="M176" s="75" t="s">
        <v>4</v>
      </c>
      <c r="N176" s="76"/>
      <c r="O176" s="76"/>
      <c r="P176" s="76"/>
      <c r="Q176" s="76"/>
      <c r="R176" s="77"/>
      <c r="S176" s="181"/>
      <c r="T176" s="182"/>
      <c r="U176" s="183"/>
      <c r="V176" s="184"/>
      <c r="W176" s="184"/>
      <c r="X176" s="185"/>
      <c r="Y176" s="184"/>
      <c r="Z176" s="184"/>
      <c r="AA176" s="185"/>
      <c r="AB176" s="185"/>
      <c r="AC176" s="185"/>
      <c r="AD176" s="185"/>
      <c r="AE176" s="185"/>
      <c r="AF176" s="185"/>
      <c r="AG176" s="185"/>
      <c r="AH176" s="184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</row>
    <row r="177" spans="3:50">
      <c r="C177" s="207" t="s">
        <v>197</v>
      </c>
      <c r="D177" s="208"/>
      <c r="E177" s="208"/>
      <c r="F177" s="208"/>
      <c r="G177" s="208"/>
      <c r="H177" s="208"/>
      <c r="I177" s="209"/>
      <c r="J177" s="44"/>
      <c r="K177" s="156">
        <f t="shared" ca="1" si="24"/>
        <v>1E-4</v>
      </c>
      <c r="L177" s="55"/>
      <c r="M177" s="56" t="s">
        <v>11</v>
      </c>
      <c r="N177" s="57"/>
      <c r="O177" s="57"/>
      <c r="P177" s="57"/>
      <c r="Q177" s="57"/>
      <c r="R177" s="58"/>
      <c r="S177" s="59"/>
      <c r="T177" s="170"/>
      <c r="U177" s="84"/>
      <c r="V177" s="85"/>
      <c r="W177" s="85"/>
      <c r="X177" s="53"/>
      <c r="Y177" s="85"/>
      <c r="Z177" s="85"/>
      <c r="AA177" s="53"/>
      <c r="AB177" s="53"/>
      <c r="AC177" s="53"/>
      <c r="AD177" s="53"/>
      <c r="AE177" s="53"/>
      <c r="AF177" s="53"/>
      <c r="AG177" s="53"/>
      <c r="AH177" s="85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</row>
    <row r="178" spans="3:50">
      <c r="C178" s="207" t="s">
        <v>198</v>
      </c>
      <c r="D178" s="208"/>
      <c r="E178" s="208"/>
      <c r="F178" s="208"/>
      <c r="G178" s="208"/>
      <c r="H178" s="208"/>
      <c r="I178" s="209"/>
      <c r="J178" s="44"/>
      <c r="K178" s="156">
        <f t="shared" ca="1" si="24"/>
        <v>1E-4</v>
      </c>
      <c r="L178" s="55"/>
      <c r="M178" s="56"/>
      <c r="N178" s="57"/>
      <c r="O178" s="57"/>
      <c r="P178" s="57"/>
      <c r="Q178" s="57"/>
      <c r="R178" s="58"/>
      <c r="S178" s="59"/>
      <c r="T178" s="170"/>
      <c r="U178" s="84"/>
      <c r="V178" s="85"/>
      <c r="W178" s="85"/>
      <c r="X178" s="53"/>
      <c r="Y178" s="85"/>
      <c r="Z178" s="85"/>
      <c r="AA178" s="53"/>
      <c r="AB178" s="53"/>
      <c r="AC178" s="53"/>
      <c r="AD178" s="53"/>
      <c r="AE178" s="53"/>
      <c r="AF178" s="53"/>
      <c r="AG178" s="53"/>
      <c r="AH178" s="85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</row>
    <row r="179" spans="3:50">
      <c r="C179" s="207" t="s">
        <v>199</v>
      </c>
      <c r="D179" s="208"/>
      <c r="E179" s="208"/>
      <c r="F179" s="208"/>
      <c r="G179" s="208"/>
      <c r="H179" s="208"/>
      <c r="I179" s="209"/>
      <c r="J179" s="131"/>
      <c r="K179" s="156">
        <f t="shared" ca="1" si="24"/>
        <v>1E-4</v>
      </c>
      <c r="L179" s="132"/>
      <c r="M179" s="125" t="s">
        <v>4</v>
      </c>
      <c r="N179" s="151"/>
      <c r="O179" s="151"/>
      <c r="P179" s="151"/>
      <c r="Q179" s="151"/>
      <c r="R179" s="87"/>
      <c r="S179" s="133"/>
      <c r="T179" s="172"/>
      <c r="U179" s="134"/>
      <c r="V179" s="135"/>
      <c r="W179" s="135"/>
      <c r="X179" s="136"/>
      <c r="Y179" s="135"/>
      <c r="Z179" s="135"/>
      <c r="AA179" s="136"/>
      <c r="AB179" s="136"/>
      <c r="AC179" s="136"/>
      <c r="AD179" s="136"/>
      <c r="AE179" s="136"/>
      <c r="AF179" s="136"/>
      <c r="AG179" s="136"/>
      <c r="AH179" s="135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</row>
    <row r="180" spans="3:50">
      <c r="C180" s="207" t="s">
        <v>200</v>
      </c>
      <c r="D180" s="208"/>
      <c r="E180" s="208"/>
      <c r="F180" s="208"/>
      <c r="G180" s="208"/>
      <c r="H180" s="208"/>
      <c r="I180" s="209"/>
      <c r="J180" s="131"/>
      <c r="K180" s="156">
        <f t="shared" ca="1" si="24"/>
        <v>1E-4</v>
      </c>
      <c r="L180" s="132"/>
      <c r="M180" s="125" t="s">
        <v>4</v>
      </c>
      <c r="N180" s="151"/>
      <c r="O180" s="151"/>
      <c r="P180" s="151"/>
      <c r="Q180" s="151"/>
      <c r="R180" s="87"/>
      <c r="S180" s="133"/>
      <c r="T180" s="172"/>
      <c r="U180" s="134"/>
      <c r="V180" s="135"/>
      <c r="W180" s="135"/>
      <c r="X180" s="136"/>
      <c r="Y180" s="135"/>
      <c r="Z180" s="135"/>
      <c r="AA180" s="136"/>
      <c r="AB180" s="136"/>
      <c r="AC180" s="136"/>
      <c r="AD180" s="136"/>
      <c r="AE180" s="136"/>
      <c r="AF180" s="136"/>
      <c r="AG180" s="136"/>
      <c r="AH180" s="135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</row>
    <row r="181" spans="3:50">
      <c r="C181" s="207" t="s">
        <v>201</v>
      </c>
      <c r="D181" s="208"/>
      <c r="E181" s="208"/>
      <c r="F181" s="208"/>
      <c r="G181" s="208"/>
      <c r="H181" s="208"/>
      <c r="I181" s="209"/>
      <c r="J181" s="131"/>
      <c r="K181" s="156">
        <f t="shared" ca="1" si="24"/>
        <v>1E-4</v>
      </c>
      <c r="L181" s="132"/>
      <c r="M181" s="125" t="s">
        <v>4</v>
      </c>
      <c r="N181" s="151"/>
      <c r="O181" s="151"/>
      <c r="P181" s="151"/>
      <c r="Q181" s="151"/>
      <c r="R181" s="87"/>
      <c r="S181" s="133"/>
      <c r="T181" s="172"/>
      <c r="U181" s="134"/>
      <c r="V181" s="135"/>
      <c r="W181" s="135"/>
      <c r="X181" s="136"/>
      <c r="Y181" s="135"/>
      <c r="Z181" s="135"/>
      <c r="AA181" s="136"/>
      <c r="AB181" s="136"/>
      <c r="AC181" s="136"/>
      <c r="AD181" s="136"/>
      <c r="AE181" s="136"/>
      <c r="AF181" s="136"/>
      <c r="AG181" s="136"/>
      <c r="AH181" s="135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</row>
    <row r="182" spans="3:50">
      <c r="C182" s="207" t="s">
        <v>202</v>
      </c>
      <c r="D182" s="208"/>
      <c r="E182" s="208"/>
      <c r="F182" s="208"/>
      <c r="G182" s="208"/>
      <c r="H182" s="208"/>
      <c r="I182" s="209"/>
      <c r="J182" s="131"/>
      <c r="K182" s="156">
        <f t="shared" ca="1" si="24"/>
        <v>1E-4</v>
      </c>
      <c r="L182" s="132"/>
      <c r="M182" s="125" t="s">
        <v>4</v>
      </c>
      <c r="N182" s="151" t="s">
        <v>21</v>
      </c>
      <c r="O182" s="151"/>
      <c r="P182" s="151"/>
      <c r="Q182" s="151"/>
      <c r="R182" s="87"/>
      <c r="S182" s="133"/>
      <c r="T182" s="172"/>
      <c r="U182" s="134"/>
      <c r="V182" s="135"/>
      <c r="W182" s="135"/>
      <c r="X182" s="136"/>
      <c r="Y182" s="135"/>
      <c r="Z182" s="135"/>
      <c r="AA182" s="136"/>
      <c r="AB182" s="136"/>
      <c r="AC182" s="136"/>
      <c r="AD182" s="136"/>
      <c r="AE182" s="136"/>
      <c r="AF182" s="136"/>
      <c r="AG182" s="136"/>
      <c r="AH182" s="135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</row>
    <row r="183" spans="3:50" ht="15.75" customHeight="1">
      <c r="C183" s="207" t="s">
        <v>203</v>
      </c>
      <c r="D183" s="208"/>
      <c r="E183" s="208"/>
      <c r="F183" s="208"/>
      <c r="G183" s="208"/>
      <c r="H183" s="208"/>
      <c r="I183" s="209"/>
      <c r="J183" s="131"/>
      <c r="K183" s="156">
        <f t="shared" ca="1" si="24"/>
        <v>1E-4</v>
      </c>
      <c r="L183" s="132"/>
      <c r="M183" s="125" t="s">
        <v>4</v>
      </c>
      <c r="N183" s="151"/>
      <c r="O183" s="151"/>
      <c r="P183" s="151"/>
      <c r="Q183" s="151"/>
      <c r="R183" s="87"/>
      <c r="S183" s="133"/>
      <c r="T183" s="172"/>
      <c r="U183" s="134"/>
      <c r="V183" s="135"/>
      <c r="W183" s="135"/>
      <c r="X183" s="136"/>
      <c r="Y183" s="135"/>
      <c r="Z183" s="135"/>
      <c r="AA183" s="136"/>
      <c r="AB183" s="136"/>
      <c r="AC183" s="136"/>
      <c r="AD183" s="136"/>
      <c r="AE183" s="136"/>
      <c r="AF183" s="136"/>
      <c r="AG183" s="136"/>
      <c r="AH183" s="135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</row>
    <row r="184" spans="3:50" ht="15" customHeight="1">
      <c r="C184" s="207" t="s">
        <v>204</v>
      </c>
      <c r="D184" s="208"/>
      <c r="E184" s="208"/>
      <c r="F184" s="208"/>
      <c r="G184" s="208"/>
      <c r="H184" s="208"/>
      <c r="I184" s="209"/>
      <c r="J184" s="131"/>
      <c r="K184" s="156">
        <f t="shared" ca="1" si="24"/>
        <v>1E-4</v>
      </c>
      <c r="L184" s="132"/>
      <c r="M184" s="125" t="s">
        <v>4</v>
      </c>
      <c r="N184" s="151"/>
      <c r="O184" s="151"/>
      <c r="P184" s="151"/>
      <c r="Q184" s="151"/>
      <c r="R184" s="87"/>
      <c r="S184" s="133"/>
      <c r="T184" s="172"/>
      <c r="U184" s="134"/>
      <c r="V184" s="135"/>
      <c r="W184" s="135"/>
      <c r="X184" s="136"/>
      <c r="Y184" s="135"/>
      <c r="Z184" s="135"/>
      <c r="AA184" s="136"/>
      <c r="AB184" s="136"/>
      <c r="AC184" s="136"/>
      <c r="AD184" s="136"/>
      <c r="AE184" s="136"/>
      <c r="AF184" s="136"/>
      <c r="AG184" s="136"/>
      <c r="AH184" s="135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</row>
    <row r="185" spans="3:50">
      <c r="C185" s="207" t="s">
        <v>205</v>
      </c>
      <c r="D185" s="208"/>
      <c r="E185" s="208"/>
      <c r="F185" s="208"/>
      <c r="G185" s="208"/>
      <c r="H185" s="208"/>
      <c r="I185" s="209"/>
      <c r="J185" s="131"/>
      <c r="K185" s="156">
        <f t="shared" ca="1" si="24"/>
        <v>1E-4</v>
      </c>
      <c r="L185" s="132"/>
      <c r="M185" s="125" t="s">
        <v>4</v>
      </c>
      <c r="N185" s="151"/>
      <c r="O185" s="151"/>
      <c r="P185" s="151"/>
      <c r="Q185" s="151"/>
      <c r="R185" s="87"/>
      <c r="S185" s="133"/>
      <c r="T185" s="172"/>
      <c r="U185" s="134"/>
      <c r="V185" s="135"/>
      <c r="W185" s="135"/>
      <c r="X185" s="136"/>
      <c r="Y185" s="135"/>
      <c r="Z185" s="135"/>
      <c r="AA185" s="136"/>
      <c r="AB185" s="136"/>
      <c r="AC185" s="136"/>
      <c r="AD185" s="136"/>
      <c r="AE185" s="136"/>
      <c r="AF185" s="136"/>
      <c r="AG185" s="136"/>
      <c r="AH185" s="135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</row>
    <row r="186" spans="3:50">
      <c r="C186" s="207" t="s">
        <v>206</v>
      </c>
      <c r="D186" s="208"/>
      <c r="E186" s="208"/>
      <c r="F186" s="208"/>
      <c r="G186" s="208"/>
      <c r="H186" s="208"/>
      <c r="I186" s="209"/>
      <c r="J186" s="131"/>
      <c r="K186" s="156">
        <f t="shared" ca="1" si="24"/>
        <v>1E-4</v>
      </c>
      <c r="L186" s="132"/>
      <c r="M186" s="125" t="s">
        <v>4</v>
      </c>
      <c r="N186" s="151"/>
      <c r="O186" s="151"/>
      <c r="P186" s="151"/>
      <c r="Q186" s="151"/>
      <c r="R186" s="87"/>
      <c r="S186" s="133"/>
      <c r="T186" s="172"/>
      <c r="U186" s="134"/>
      <c r="V186" s="135"/>
      <c r="W186" s="135"/>
      <c r="X186" s="136"/>
      <c r="Y186" s="135"/>
      <c r="Z186" s="135"/>
      <c r="AA186" s="136"/>
      <c r="AB186" s="136"/>
      <c r="AC186" s="136"/>
      <c r="AD186" s="136"/>
      <c r="AE186" s="136"/>
      <c r="AF186" s="136"/>
      <c r="AG186" s="136"/>
      <c r="AH186" s="135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</row>
    <row r="187" spans="3:50" ht="15.75" thickBot="1">
      <c r="C187" s="210" t="s">
        <v>207</v>
      </c>
      <c r="D187" s="211"/>
      <c r="E187" s="211"/>
      <c r="F187" s="211"/>
      <c r="G187" s="211"/>
      <c r="H187" s="211"/>
      <c r="I187" s="212"/>
      <c r="J187" s="131"/>
      <c r="K187" s="156">
        <f t="shared" ca="1" si="24"/>
        <v>1E-4</v>
      </c>
      <c r="L187" s="132"/>
      <c r="M187" s="125"/>
      <c r="N187" s="151"/>
      <c r="O187" s="151"/>
      <c r="P187" s="151"/>
      <c r="Q187" s="151"/>
      <c r="R187" s="87"/>
      <c r="S187" s="133"/>
      <c r="T187" s="172"/>
      <c r="U187" s="134"/>
      <c r="V187" s="135"/>
      <c r="W187" s="135"/>
      <c r="X187" s="136"/>
      <c r="Y187" s="135"/>
      <c r="Z187" s="135"/>
      <c r="AA187" s="136"/>
      <c r="AB187" s="136"/>
      <c r="AC187" s="136"/>
      <c r="AD187" s="136"/>
      <c r="AE187" s="136"/>
      <c r="AF187" s="136"/>
      <c r="AG187" s="136"/>
      <c r="AH187" s="135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</row>
    <row r="188" spans="3:50" ht="15.75">
      <c r="C188" s="220">
        <f>$C$3+(D188*7)</f>
        <v>46113</v>
      </c>
      <c r="D188" s="222">
        <v>0</v>
      </c>
      <c r="E188" s="224" t="s">
        <v>208</v>
      </c>
      <c r="F188" s="224"/>
      <c r="G188" s="224"/>
      <c r="H188" s="224"/>
      <c r="I188" s="225"/>
      <c r="J188" s="213">
        <f>SUM(J190:J204)/COUNTA(C190:I204)</f>
        <v>0</v>
      </c>
      <c r="K188" s="213">
        <f ca="1">AVERAGE(K190:K204)</f>
        <v>1.0000000000000003E-4</v>
      </c>
      <c r="L188" s="186"/>
      <c r="M188" s="187"/>
      <c r="N188" s="188"/>
      <c r="O188" s="188"/>
      <c r="P188" s="188"/>
      <c r="Q188" s="188"/>
      <c r="R188" s="189"/>
      <c r="S188" s="190"/>
      <c r="T188" s="19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</row>
    <row r="189" spans="3:50" ht="16.5" thickBot="1">
      <c r="C189" s="221"/>
      <c r="D189" s="223"/>
      <c r="E189" s="226" t="s">
        <v>209</v>
      </c>
      <c r="F189" s="226"/>
      <c r="G189" s="226"/>
      <c r="H189" s="226"/>
      <c r="I189" s="227"/>
      <c r="J189" s="214"/>
      <c r="K189" s="214"/>
      <c r="L189" s="186"/>
      <c r="M189" s="187"/>
      <c r="N189" s="188"/>
      <c r="O189" s="188"/>
      <c r="P189" s="188"/>
      <c r="Q189" s="188"/>
      <c r="R189" s="189"/>
      <c r="S189" s="190"/>
      <c r="T189" s="19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</row>
    <row r="190" spans="3:50">
      <c r="C190" s="217" t="s">
        <v>210</v>
      </c>
      <c r="D190" s="218"/>
      <c r="E190" s="218"/>
      <c r="F190" s="218"/>
      <c r="G190" s="218"/>
      <c r="H190" s="218"/>
      <c r="I190" s="219"/>
      <c r="J190" s="72"/>
      <c r="K190" s="156">
        <f t="shared" ref="K190:K204" ca="1" si="25">IF($C$188-$G$8&lt;0%,100%,0.01%)</f>
        <v>1E-4</v>
      </c>
      <c r="L190" s="100"/>
      <c r="M190" s="75"/>
      <c r="N190" s="76"/>
      <c r="O190" s="76"/>
      <c r="P190" s="76"/>
      <c r="Q190" s="76"/>
      <c r="R190" s="77"/>
      <c r="S190" s="78"/>
      <c r="T190" s="169"/>
      <c r="U190" s="102"/>
      <c r="V190" s="103"/>
      <c r="W190" s="103"/>
      <c r="X190" s="81"/>
      <c r="Y190" s="103"/>
      <c r="Z190" s="103"/>
      <c r="AA190" s="81"/>
      <c r="AB190" s="81"/>
      <c r="AC190" s="81"/>
      <c r="AD190" s="81"/>
      <c r="AE190" s="81"/>
      <c r="AF190" s="81"/>
      <c r="AG190" s="81"/>
      <c r="AH190" s="103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</row>
    <row r="191" spans="3:50">
      <c r="C191" s="207" t="s">
        <v>211</v>
      </c>
      <c r="D191" s="208"/>
      <c r="E191" s="208"/>
      <c r="F191" s="208"/>
      <c r="G191" s="208"/>
      <c r="H191" s="208"/>
      <c r="I191" s="209"/>
      <c r="J191" s="44"/>
      <c r="K191" s="156">
        <f t="shared" ca="1" si="25"/>
        <v>1E-4</v>
      </c>
      <c r="L191" s="55"/>
      <c r="M191" s="56"/>
      <c r="N191" s="57"/>
      <c r="O191" s="57"/>
      <c r="P191" s="57"/>
      <c r="Q191" s="57"/>
      <c r="R191" s="58"/>
      <c r="S191" s="59"/>
      <c r="T191" s="170"/>
      <c r="U191" s="84"/>
      <c r="V191" s="85"/>
      <c r="W191" s="85"/>
      <c r="X191" s="53"/>
      <c r="Y191" s="85"/>
      <c r="Z191" s="85"/>
      <c r="AA191" s="53"/>
      <c r="AB191" s="53"/>
      <c r="AC191" s="53"/>
      <c r="AD191" s="53"/>
      <c r="AE191" s="53"/>
      <c r="AF191" s="53"/>
      <c r="AG191" s="53"/>
      <c r="AH191" s="85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</row>
    <row r="192" spans="3:50">
      <c r="C192" s="207" t="s">
        <v>212</v>
      </c>
      <c r="D192" s="208"/>
      <c r="E192" s="208"/>
      <c r="F192" s="208"/>
      <c r="G192" s="208"/>
      <c r="H192" s="208"/>
      <c r="I192" s="209"/>
      <c r="J192" s="44"/>
      <c r="K192" s="156">
        <f t="shared" ca="1" si="25"/>
        <v>1E-4</v>
      </c>
      <c r="L192" s="55"/>
      <c r="M192" s="56"/>
      <c r="N192" s="57"/>
      <c r="O192" s="57"/>
      <c r="P192" s="57"/>
      <c r="Q192" s="57"/>
      <c r="R192" s="58"/>
      <c r="S192" s="59"/>
      <c r="T192" s="170"/>
      <c r="U192" s="52"/>
      <c r="V192" s="53"/>
      <c r="W192" s="85"/>
      <c r="X192" s="53"/>
      <c r="Y192" s="85"/>
      <c r="Z192" s="85"/>
      <c r="AA192" s="53"/>
      <c r="AB192" s="53"/>
      <c r="AC192" s="53"/>
      <c r="AD192" s="53"/>
      <c r="AE192" s="53"/>
      <c r="AF192" s="53"/>
      <c r="AG192" s="53"/>
      <c r="AH192" s="85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</row>
    <row r="193" spans="3:50">
      <c r="C193" s="207" t="s">
        <v>213</v>
      </c>
      <c r="D193" s="208"/>
      <c r="E193" s="208"/>
      <c r="F193" s="208"/>
      <c r="G193" s="208"/>
      <c r="H193" s="208"/>
      <c r="I193" s="209"/>
      <c r="J193" s="44"/>
      <c r="K193" s="156">
        <f t="shared" ca="1" si="25"/>
        <v>1E-4</v>
      </c>
      <c r="L193" s="55"/>
      <c r="M193" s="56"/>
      <c r="N193" s="57"/>
      <c r="O193" s="57"/>
      <c r="P193" s="57"/>
      <c r="Q193" s="57"/>
      <c r="R193" s="58"/>
      <c r="S193" s="59"/>
      <c r="T193" s="170"/>
      <c r="U193" s="84"/>
      <c r="V193" s="85"/>
      <c r="W193" s="85"/>
      <c r="X193" s="53"/>
      <c r="Y193" s="85"/>
      <c r="Z193" s="85"/>
      <c r="AA193" s="53"/>
      <c r="AB193" s="53"/>
      <c r="AC193" s="53"/>
      <c r="AD193" s="53"/>
      <c r="AE193" s="53"/>
      <c r="AF193" s="53"/>
      <c r="AG193" s="53"/>
      <c r="AH193" s="85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</row>
    <row r="194" spans="3:50">
      <c r="C194" s="207" t="s">
        <v>214</v>
      </c>
      <c r="D194" s="208"/>
      <c r="E194" s="208"/>
      <c r="F194" s="208"/>
      <c r="G194" s="208"/>
      <c r="H194" s="208"/>
      <c r="I194" s="209"/>
      <c r="J194" s="44"/>
      <c r="K194" s="156">
        <f t="shared" ca="1" si="25"/>
        <v>1E-4</v>
      </c>
      <c r="L194" s="55"/>
      <c r="M194" s="56"/>
      <c r="N194" s="57"/>
      <c r="O194" s="57"/>
      <c r="P194" s="57"/>
      <c r="Q194" s="57"/>
      <c r="R194" s="58"/>
      <c r="S194" s="59"/>
      <c r="T194" s="170"/>
      <c r="U194" s="84"/>
      <c r="V194" s="85"/>
      <c r="W194" s="85"/>
      <c r="X194" s="53"/>
      <c r="Y194" s="85"/>
      <c r="Z194" s="85"/>
      <c r="AA194" s="53"/>
      <c r="AB194" s="53"/>
      <c r="AC194" s="53"/>
      <c r="AD194" s="53"/>
      <c r="AE194" s="53"/>
      <c r="AF194" s="53"/>
      <c r="AG194" s="53"/>
      <c r="AH194" s="85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</row>
    <row r="195" spans="3:50">
      <c r="C195" s="207" t="s">
        <v>215</v>
      </c>
      <c r="D195" s="208"/>
      <c r="E195" s="208"/>
      <c r="F195" s="208"/>
      <c r="G195" s="208"/>
      <c r="H195" s="208"/>
      <c r="I195" s="209"/>
      <c r="J195" s="44"/>
      <c r="K195" s="156">
        <f t="shared" ca="1" si="25"/>
        <v>1E-4</v>
      </c>
      <c r="L195" s="55"/>
      <c r="M195" s="56"/>
      <c r="N195" s="57"/>
      <c r="O195" s="57"/>
      <c r="P195" s="57"/>
      <c r="Q195" s="57"/>
      <c r="R195" s="58"/>
      <c r="S195" s="59"/>
      <c r="T195" s="170"/>
      <c r="U195" s="84"/>
      <c r="V195" s="85"/>
      <c r="W195" s="85"/>
      <c r="X195" s="53"/>
      <c r="Y195" s="85"/>
      <c r="Z195" s="85"/>
      <c r="AA195" s="53"/>
      <c r="AB195" s="53"/>
      <c r="AC195" s="53"/>
      <c r="AD195" s="53"/>
      <c r="AE195" s="53"/>
      <c r="AF195" s="53"/>
      <c r="AG195" s="53"/>
      <c r="AH195" s="85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</row>
    <row r="196" spans="3:50">
      <c r="C196" s="207" t="s">
        <v>216</v>
      </c>
      <c r="D196" s="208"/>
      <c r="E196" s="208"/>
      <c r="F196" s="208"/>
      <c r="G196" s="208"/>
      <c r="H196" s="208"/>
      <c r="I196" s="209"/>
      <c r="J196" s="44"/>
      <c r="K196" s="156">
        <f t="shared" ca="1" si="25"/>
        <v>1E-4</v>
      </c>
      <c r="L196" s="55"/>
      <c r="M196" s="56"/>
      <c r="N196" s="57"/>
      <c r="O196" s="57"/>
      <c r="P196" s="57"/>
      <c r="Q196" s="57"/>
      <c r="R196" s="58"/>
      <c r="S196" s="59"/>
      <c r="T196" s="170"/>
      <c r="U196" s="84"/>
      <c r="V196" s="85"/>
      <c r="W196" s="85"/>
      <c r="X196" s="53"/>
      <c r="Y196" s="85"/>
      <c r="Z196" s="85"/>
      <c r="AA196" s="53"/>
      <c r="AB196" s="53"/>
      <c r="AC196" s="53"/>
      <c r="AD196" s="53"/>
      <c r="AE196" s="53"/>
      <c r="AF196" s="53"/>
      <c r="AG196" s="53"/>
      <c r="AH196" s="85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</row>
    <row r="197" spans="3:50">
      <c r="C197" s="207" t="s">
        <v>217</v>
      </c>
      <c r="D197" s="208"/>
      <c r="E197" s="208"/>
      <c r="F197" s="208"/>
      <c r="G197" s="208"/>
      <c r="H197" s="208"/>
      <c r="I197" s="209"/>
      <c r="J197" s="44"/>
      <c r="K197" s="156">
        <f t="shared" ca="1" si="25"/>
        <v>1E-4</v>
      </c>
      <c r="L197" s="55"/>
      <c r="M197" s="56"/>
      <c r="N197" s="57"/>
      <c r="O197" s="57"/>
      <c r="P197" s="57"/>
      <c r="Q197" s="57"/>
      <c r="R197" s="58"/>
      <c r="S197" s="59"/>
      <c r="T197" s="170"/>
      <c r="U197" s="84"/>
      <c r="V197" s="85"/>
      <c r="W197" s="85"/>
      <c r="X197" s="53"/>
      <c r="Y197" s="85"/>
      <c r="Z197" s="85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</row>
    <row r="198" spans="3:50">
      <c r="C198" s="207" t="s">
        <v>218</v>
      </c>
      <c r="D198" s="208"/>
      <c r="E198" s="208"/>
      <c r="F198" s="208"/>
      <c r="G198" s="208"/>
      <c r="H198" s="208"/>
      <c r="I198" s="209"/>
      <c r="J198" s="44"/>
      <c r="K198" s="156">
        <f t="shared" ca="1" si="25"/>
        <v>1E-4</v>
      </c>
      <c r="L198" s="55"/>
      <c r="M198" s="56"/>
      <c r="N198" s="57"/>
      <c r="O198" s="57"/>
      <c r="P198" s="57"/>
      <c r="Q198" s="57"/>
      <c r="R198" s="58"/>
      <c r="S198" s="59"/>
      <c r="T198" s="170"/>
      <c r="U198" s="84"/>
      <c r="V198" s="85"/>
      <c r="W198" s="85"/>
      <c r="X198" s="53"/>
      <c r="Y198" s="85"/>
      <c r="Z198" s="85"/>
      <c r="AA198" s="53"/>
      <c r="AB198" s="53"/>
      <c r="AC198" s="53"/>
      <c r="AD198" s="53"/>
      <c r="AE198" s="53"/>
      <c r="AF198" s="53"/>
      <c r="AG198" s="53"/>
      <c r="AH198" s="85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</row>
    <row r="199" spans="3:50">
      <c r="C199" s="207" t="s">
        <v>219</v>
      </c>
      <c r="D199" s="208"/>
      <c r="E199" s="208"/>
      <c r="F199" s="208"/>
      <c r="G199" s="208"/>
      <c r="H199" s="208"/>
      <c r="I199" s="209"/>
      <c r="J199" s="44"/>
      <c r="K199" s="156">
        <f t="shared" ca="1" si="25"/>
        <v>1E-4</v>
      </c>
      <c r="L199" s="55"/>
      <c r="M199" s="56"/>
      <c r="N199" s="57"/>
      <c r="O199" s="57"/>
      <c r="P199" s="57"/>
      <c r="Q199" s="57"/>
      <c r="R199" s="58"/>
      <c r="S199" s="59"/>
      <c r="T199" s="170"/>
      <c r="U199" s="84"/>
      <c r="V199" s="85"/>
      <c r="W199" s="85"/>
      <c r="X199" s="53"/>
      <c r="Y199" s="85"/>
      <c r="Z199" s="85"/>
      <c r="AA199" s="53"/>
      <c r="AB199" s="53"/>
      <c r="AC199" s="53"/>
      <c r="AD199" s="53"/>
      <c r="AE199" s="53"/>
      <c r="AF199" s="53"/>
      <c r="AG199" s="53"/>
      <c r="AH199" s="85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</row>
    <row r="200" spans="3:50">
      <c r="C200" s="207" t="s">
        <v>220</v>
      </c>
      <c r="D200" s="208"/>
      <c r="E200" s="208"/>
      <c r="F200" s="208"/>
      <c r="G200" s="208"/>
      <c r="H200" s="208"/>
      <c r="I200" s="209"/>
      <c r="J200" s="44"/>
      <c r="K200" s="156">
        <f t="shared" ca="1" si="25"/>
        <v>1E-4</v>
      </c>
      <c r="L200" s="55"/>
      <c r="M200" s="56"/>
      <c r="N200" s="57"/>
      <c r="O200" s="57"/>
      <c r="P200" s="57"/>
      <c r="Q200" s="57"/>
      <c r="R200" s="58"/>
      <c r="S200" s="59"/>
      <c r="T200" s="170"/>
      <c r="U200" s="84"/>
      <c r="V200" s="85"/>
      <c r="W200" s="85"/>
      <c r="X200" s="53"/>
      <c r="Y200" s="85"/>
      <c r="Z200" s="85"/>
      <c r="AA200" s="53"/>
      <c r="AB200" s="53"/>
      <c r="AC200" s="53"/>
      <c r="AD200" s="53"/>
      <c r="AE200" s="53"/>
      <c r="AF200" s="53"/>
      <c r="AG200" s="53"/>
      <c r="AH200" s="85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</row>
    <row r="201" spans="3:50">
      <c r="C201" s="207" t="s">
        <v>221</v>
      </c>
      <c r="D201" s="208"/>
      <c r="E201" s="208"/>
      <c r="F201" s="208"/>
      <c r="G201" s="208"/>
      <c r="H201" s="208"/>
      <c r="I201" s="209"/>
      <c r="J201" s="44"/>
      <c r="K201" s="156">
        <f t="shared" ca="1" si="25"/>
        <v>1E-4</v>
      </c>
      <c r="L201" s="55"/>
      <c r="M201" s="56"/>
      <c r="N201" s="57"/>
      <c r="O201" s="57"/>
      <c r="P201" s="57"/>
      <c r="Q201" s="57"/>
      <c r="R201" s="58"/>
      <c r="S201" s="59"/>
      <c r="T201" s="170"/>
      <c r="U201" s="84"/>
      <c r="V201" s="85"/>
      <c r="W201" s="85"/>
      <c r="X201" s="53"/>
      <c r="Y201" s="85"/>
      <c r="Z201" s="85"/>
      <c r="AA201" s="53"/>
      <c r="AB201" s="53"/>
      <c r="AC201" s="53"/>
      <c r="AD201" s="53"/>
      <c r="AE201" s="53"/>
      <c r="AF201" s="53"/>
      <c r="AG201" s="53"/>
      <c r="AH201" s="85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</row>
    <row r="202" spans="3:50">
      <c r="C202" s="207" t="s">
        <v>222</v>
      </c>
      <c r="D202" s="208"/>
      <c r="E202" s="208"/>
      <c r="F202" s="208"/>
      <c r="G202" s="208"/>
      <c r="H202" s="208"/>
      <c r="I202" s="209"/>
      <c r="J202" s="44"/>
      <c r="K202" s="156">
        <f t="shared" ca="1" si="25"/>
        <v>1E-4</v>
      </c>
      <c r="L202" s="55"/>
      <c r="M202" s="56"/>
      <c r="N202" s="57"/>
      <c r="O202" s="57"/>
      <c r="P202" s="57"/>
      <c r="Q202" s="57"/>
      <c r="R202" s="58"/>
      <c r="S202" s="59"/>
      <c r="T202" s="170"/>
      <c r="U202" s="84"/>
      <c r="V202" s="85"/>
      <c r="W202" s="85"/>
      <c r="X202" s="53"/>
      <c r="Y202" s="85"/>
      <c r="Z202" s="85"/>
      <c r="AA202" s="53"/>
      <c r="AB202" s="53"/>
      <c r="AC202" s="53"/>
      <c r="AD202" s="53"/>
      <c r="AE202" s="53"/>
      <c r="AF202" s="53"/>
      <c r="AG202" s="53"/>
      <c r="AH202" s="85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</row>
    <row r="203" spans="3:50">
      <c r="C203" s="207" t="s">
        <v>223</v>
      </c>
      <c r="D203" s="208"/>
      <c r="E203" s="208"/>
      <c r="F203" s="208"/>
      <c r="G203" s="208"/>
      <c r="H203" s="208"/>
      <c r="I203" s="209"/>
      <c r="J203" s="44"/>
      <c r="K203" s="156">
        <f t="shared" ca="1" si="25"/>
        <v>1E-4</v>
      </c>
      <c r="L203" s="55"/>
      <c r="M203" s="56"/>
      <c r="N203" s="57"/>
      <c r="O203" s="57"/>
      <c r="P203" s="57"/>
      <c r="Q203" s="57"/>
      <c r="R203" s="58"/>
      <c r="S203" s="59"/>
      <c r="T203" s="170"/>
      <c r="U203" s="84"/>
      <c r="V203" s="85"/>
      <c r="W203" s="85"/>
      <c r="X203" s="53"/>
      <c r="Y203" s="85"/>
      <c r="Z203" s="85"/>
      <c r="AA203" s="53"/>
      <c r="AB203" s="53"/>
      <c r="AC203" s="53"/>
      <c r="AD203" s="53"/>
      <c r="AE203" s="53"/>
      <c r="AF203" s="53"/>
      <c r="AG203" s="53"/>
      <c r="AH203" s="85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</row>
    <row r="204" spans="3:50" ht="15.75" thickBot="1">
      <c r="C204" s="210" t="s">
        <v>224</v>
      </c>
      <c r="D204" s="211"/>
      <c r="E204" s="211"/>
      <c r="F204" s="211"/>
      <c r="G204" s="211"/>
      <c r="H204" s="211"/>
      <c r="I204" s="212"/>
      <c r="J204" s="137"/>
      <c r="K204" s="156">
        <f t="shared" ca="1" si="25"/>
        <v>1E-4</v>
      </c>
      <c r="L204" s="162"/>
      <c r="M204" s="108"/>
      <c r="N204" s="163"/>
      <c r="O204" s="163"/>
      <c r="P204" s="163"/>
      <c r="Q204" s="163"/>
      <c r="R204" s="164"/>
      <c r="S204" s="147"/>
      <c r="T204" s="176"/>
      <c r="U204" s="165"/>
      <c r="V204" s="166"/>
      <c r="W204" s="166"/>
      <c r="X204" s="167"/>
      <c r="Y204" s="166"/>
      <c r="Z204" s="166"/>
      <c r="AA204" s="167"/>
      <c r="AB204" s="167"/>
      <c r="AC204" s="167"/>
      <c r="AD204" s="167"/>
      <c r="AE204" s="167"/>
      <c r="AF204" s="167"/>
      <c r="AG204" s="167"/>
      <c r="AH204" s="166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</row>
    <row r="205" spans="3:50" ht="15.75">
      <c r="C205" s="220">
        <f>$H$3+(D205*7)</f>
        <v>46134</v>
      </c>
      <c r="D205" s="222">
        <v>1</v>
      </c>
      <c r="E205" s="224" t="s">
        <v>225</v>
      </c>
      <c r="F205" s="224"/>
      <c r="G205" s="224"/>
      <c r="H205" s="224"/>
      <c r="I205" s="225"/>
      <c r="J205" s="213">
        <f>SUM(J207:J220)/COUNTA(C207:I220)</f>
        <v>0</v>
      </c>
      <c r="K205" s="213">
        <f ca="1">AVERAGE(K207:K220)</f>
        <v>1.0000000000000003E-4</v>
      </c>
      <c r="L205" s="65"/>
      <c r="M205" s="66"/>
      <c r="N205" s="67"/>
      <c r="O205" s="67"/>
      <c r="P205" s="67"/>
      <c r="Q205" s="67"/>
      <c r="R205" s="68"/>
      <c r="S205" s="69"/>
      <c r="T205" s="70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</row>
    <row r="206" spans="3:50" ht="16.5" thickBot="1">
      <c r="C206" s="221"/>
      <c r="D206" s="223"/>
      <c r="E206" s="215"/>
      <c r="F206" s="215"/>
      <c r="G206" s="215"/>
      <c r="H206" s="215"/>
      <c r="I206" s="216"/>
      <c r="J206" s="214"/>
      <c r="K206" s="214"/>
      <c r="L206" s="65"/>
      <c r="M206" s="66"/>
      <c r="N206" s="67"/>
      <c r="O206" s="67"/>
      <c r="P206" s="67"/>
      <c r="Q206" s="67"/>
      <c r="R206" s="68"/>
      <c r="S206" s="69"/>
      <c r="T206" s="70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</row>
    <row r="207" spans="3:50">
      <c r="C207" s="217" t="s">
        <v>226</v>
      </c>
      <c r="D207" s="218"/>
      <c r="E207" s="218"/>
      <c r="F207" s="218"/>
      <c r="G207" s="218"/>
      <c r="H207" s="218"/>
      <c r="I207" s="219"/>
      <c r="J207" s="72"/>
      <c r="K207" s="192">
        <f ca="1">IF($C$205-$G$8&lt;0%,100%,0.01%)</f>
        <v>1E-4</v>
      </c>
      <c r="L207" s="100"/>
      <c r="M207" s="75"/>
      <c r="N207" s="76"/>
      <c r="O207" s="76"/>
      <c r="P207" s="76"/>
      <c r="Q207" s="76"/>
      <c r="R207" s="77"/>
      <c r="S207" s="78"/>
      <c r="T207" s="169"/>
      <c r="U207" s="102"/>
      <c r="V207" s="103"/>
      <c r="W207" s="103"/>
      <c r="X207" s="81"/>
      <c r="Y207" s="103"/>
      <c r="Z207" s="103"/>
      <c r="AA207" s="81"/>
      <c r="AB207" s="81"/>
      <c r="AC207" s="81"/>
      <c r="AD207" s="81"/>
      <c r="AE207" s="81"/>
      <c r="AF207" s="81"/>
      <c r="AG207" s="81"/>
      <c r="AH207" s="103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</row>
    <row r="208" spans="3:50">
      <c r="C208" s="207" t="s">
        <v>227</v>
      </c>
      <c r="D208" s="208"/>
      <c r="E208" s="208"/>
      <c r="F208" s="208"/>
      <c r="G208" s="208"/>
      <c r="H208" s="208"/>
      <c r="I208" s="209"/>
      <c r="J208" s="44"/>
      <c r="K208" s="156">
        <f t="shared" ref="K208:K220" ca="1" si="26">IF($C$188-$G$8&lt;0%,100%,0.01%)</f>
        <v>1E-4</v>
      </c>
      <c r="L208" s="55"/>
      <c r="M208" s="56"/>
      <c r="N208" s="57"/>
      <c r="O208" s="57"/>
      <c r="P208" s="57"/>
      <c r="Q208" s="57"/>
      <c r="R208" s="58"/>
      <c r="S208" s="59"/>
      <c r="T208" s="170"/>
      <c r="U208" s="84"/>
      <c r="V208" s="85"/>
      <c r="W208" s="85"/>
      <c r="X208" s="53"/>
      <c r="Y208" s="85"/>
      <c r="Z208" s="85"/>
      <c r="AA208" s="53"/>
      <c r="AB208" s="53"/>
      <c r="AC208" s="53"/>
      <c r="AD208" s="53"/>
      <c r="AE208" s="53"/>
      <c r="AF208" s="53"/>
      <c r="AG208" s="53"/>
      <c r="AH208" s="85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</row>
    <row r="209" spans="3:50">
      <c r="C209" s="207" t="s">
        <v>228</v>
      </c>
      <c r="D209" s="208"/>
      <c r="E209" s="208"/>
      <c r="F209" s="208"/>
      <c r="G209" s="208"/>
      <c r="H209" s="208"/>
      <c r="I209" s="209"/>
      <c r="J209" s="44"/>
      <c r="K209" s="156">
        <f t="shared" ca="1" si="26"/>
        <v>1E-4</v>
      </c>
      <c r="L209" s="55"/>
      <c r="M209" s="56"/>
      <c r="N209" s="57"/>
      <c r="O209" s="57"/>
      <c r="P209" s="57"/>
      <c r="Q209" s="57"/>
      <c r="R209" s="58"/>
      <c r="S209" s="59"/>
      <c r="T209" s="170"/>
      <c r="U209" s="84"/>
      <c r="V209" s="85"/>
      <c r="W209" s="85"/>
      <c r="X209" s="53"/>
      <c r="Y209" s="85"/>
      <c r="Z209" s="85"/>
      <c r="AA209" s="53"/>
      <c r="AB209" s="53"/>
      <c r="AC209" s="53"/>
      <c r="AD209" s="53"/>
      <c r="AE209" s="53"/>
      <c r="AF209" s="53"/>
      <c r="AG209" s="53"/>
      <c r="AH209" s="85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</row>
    <row r="210" spans="3:50">
      <c r="C210" s="207" t="s">
        <v>229</v>
      </c>
      <c r="D210" s="208"/>
      <c r="E210" s="208"/>
      <c r="F210" s="208"/>
      <c r="G210" s="208"/>
      <c r="H210" s="208"/>
      <c r="I210" s="209"/>
      <c r="J210" s="44"/>
      <c r="K210" s="156">
        <f t="shared" ca="1" si="26"/>
        <v>1E-4</v>
      </c>
      <c r="L210" s="55"/>
      <c r="M210" s="56"/>
      <c r="N210" s="57"/>
      <c r="O210" s="57"/>
      <c r="P210" s="57"/>
      <c r="Q210" s="57"/>
      <c r="R210" s="58"/>
      <c r="S210" s="59"/>
      <c r="T210" s="170"/>
      <c r="U210" s="84"/>
      <c r="V210" s="85"/>
      <c r="W210" s="85"/>
      <c r="X210" s="53"/>
      <c r="Y210" s="85"/>
      <c r="Z210" s="85"/>
      <c r="AA210" s="53"/>
      <c r="AB210" s="53"/>
      <c r="AC210" s="53"/>
      <c r="AD210" s="53"/>
      <c r="AE210" s="53"/>
      <c r="AF210" s="53"/>
      <c r="AG210" s="53"/>
      <c r="AH210" s="85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</row>
    <row r="211" spans="3:50">
      <c r="C211" s="207" t="s">
        <v>230</v>
      </c>
      <c r="D211" s="208"/>
      <c r="E211" s="208"/>
      <c r="F211" s="208"/>
      <c r="G211" s="208"/>
      <c r="H211" s="208"/>
      <c r="I211" s="209"/>
      <c r="J211" s="44"/>
      <c r="K211" s="156">
        <f t="shared" ca="1" si="26"/>
        <v>1E-4</v>
      </c>
      <c r="L211" s="55"/>
      <c r="M211" s="56"/>
      <c r="N211" s="57"/>
      <c r="O211" s="57"/>
      <c r="P211" s="57"/>
      <c r="Q211" s="57"/>
      <c r="R211" s="58"/>
      <c r="S211" s="59"/>
      <c r="T211" s="170"/>
      <c r="U211" s="84"/>
      <c r="V211" s="85"/>
      <c r="W211" s="85"/>
      <c r="X211" s="53"/>
      <c r="Y211" s="85"/>
      <c r="Z211" s="85"/>
      <c r="AA211" s="53"/>
      <c r="AB211" s="53"/>
      <c r="AC211" s="53"/>
      <c r="AD211" s="53"/>
      <c r="AE211" s="53"/>
      <c r="AF211" s="53"/>
      <c r="AG211" s="53"/>
      <c r="AH211" s="85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</row>
    <row r="212" spans="3:50">
      <c r="C212" s="207" t="s">
        <v>231</v>
      </c>
      <c r="D212" s="208"/>
      <c r="E212" s="208"/>
      <c r="F212" s="208"/>
      <c r="G212" s="208"/>
      <c r="H212" s="208"/>
      <c r="I212" s="209"/>
      <c r="J212" s="44"/>
      <c r="K212" s="156">
        <f t="shared" ca="1" si="26"/>
        <v>1E-4</v>
      </c>
      <c r="L212" s="55"/>
      <c r="M212" s="56"/>
      <c r="N212" s="57"/>
      <c r="O212" s="57"/>
      <c r="P212" s="57"/>
      <c r="Q212" s="57"/>
      <c r="R212" s="58"/>
      <c r="S212" s="59"/>
      <c r="T212" s="170"/>
      <c r="U212" s="84"/>
      <c r="V212" s="85"/>
      <c r="W212" s="85"/>
      <c r="X212" s="53"/>
      <c r="Y212" s="85"/>
      <c r="Z212" s="85"/>
      <c r="AA212" s="53"/>
      <c r="AB212" s="53"/>
      <c r="AC212" s="53"/>
      <c r="AD212" s="53"/>
      <c r="AE212" s="53"/>
      <c r="AF212" s="53"/>
      <c r="AG212" s="53"/>
      <c r="AH212" s="85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</row>
    <row r="213" spans="3:50">
      <c r="C213" s="207" t="s">
        <v>232</v>
      </c>
      <c r="D213" s="208"/>
      <c r="E213" s="208"/>
      <c r="F213" s="208"/>
      <c r="G213" s="208"/>
      <c r="H213" s="208"/>
      <c r="I213" s="209"/>
      <c r="J213" s="44"/>
      <c r="K213" s="156">
        <f t="shared" ca="1" si="26"/>
        <v>1E-4</v>
      </c>
      <c r="L213" s="55"/>
      <c r="M213" s="56"/>
      <c r="N213" s="57"/>
      <c r="O213" s="57"/>
      <c r="P213" s="57"/>
      <c r="Q213" s="57"/>
      <c r="R213" s="58"/>
      <c r="S213" s="59"/>
      <c r="T213" s="170"/>
      <c r="U213" s="84"/>
      <c r="V213" s="85"/>
      <c r="W213" s="85"/>
      <c r="X213" s="53"/>
      <c r="Y213" s="85"/>
      <c r="Z213" s="85"/>
      <c r="AA213" s="53"/>
      <c r="AB213" s="53"/>
      <c r="AC213" s="53"/>
      <c r="AD213" s="53"/>
      <c r="AE213" s="53"/>
      <c r="AF213" s="53"/>
      <c r="AG213" s="53"/>
      <c r="AH213" s="85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</row>
    <row r="214" spans="3:50">
      <c r="C214" s="207" t="s">
        <v>233</v>
      </c>
      <c r="D214" s="208"/>
      <c r="E214" s="208"/>
      <c r="F214" s="208"/>
      <c r="G214" s="208"/>
      <c r="H214" s="208"/>
      <c r="I214" s="209"/>
      <c r="J214" s="44"/>
      <c r="K214" s="156">
        <f t="shared" ca="1" si="26"/>
        <v>1E-4</v>
      </c>
      <c r="L214" s="55"/>
      <c r="M214" s="56"/>
      <c r="N214" s="57"/>
      <c r="O214" s="57"/>
      <c r="P214" s="57"/>
      <c r="Q214" s="57"/>
      <c r="R214" s="58"/>
      <c r="S214" s="59"/>
      <c r="T214" s="170"/>
      <c r="U214" s="84"/>
      <c r="V214" s="85"/>
      <c r="W214" s="85"/>
      <c r="X214" s="53"/>
      <c r="Y214" s="85"/>
      <c r="Z214" s="85"/>
      <c r="AA214" s="53"/>
      <c r="AB214" s="53"/>
      <c r="AC214" s="53"/>
      <c r="AD214" s="53"/>
      <c r="AE214" s="53"/>
      <c r="AF214" s="53"/>
      <c r="AG214" s="53"/>
      <c r="AH214" s="85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</row>
    <row r="215" spans="3:50">
      <c r="C215" s="207" t="s">
        <v>234</v>
      </c>
      <c r="D215" s="208"/>
      <c r="E215" s="208"/>
      <c r="F215" s="208"/>
      <c r="G215" s="208"/>
      <c r="H215" s="208"/>
      <c r="I215" s="209"/>
      <c r="J215" s="44"/>
      <c r="K215" s="156">
        <f t="shared" ca="1" si="26"/>
        <v>1E-4</v>
      </c>
      <c r="L215" s="55"/>
      <c r="M215" s="56"/>
      <c r="N215" s="57"/>
      <c r="O215" s="57"/>
      <c r="P215" s="57"/>
      <c r="Q215" s="57"/>
      <c r="R215" s="58"/>
      <c r="S215" s="59"/>
      <c r="T215" s="170"/>
      <c r="U215" s="84"/>
      <c r="V215" s="85"/>
      <c r="W215" s="85"/>
      <c r="X215" s="53"/>
      <c r="Y215" s="85"/>
      <c r="Z215" s="85"/>
      <c r="AA215" s="53"/>
      <c r="AB215" s="53"/>
      <c r="AC215" s="53"/>
      <c r="AD215" s="53"/>
      <c r="AE215" s="53"/>
      <c r="AF215" s="53"/>
      <c r="AG215" s="53"/>
      <c r="AH215" s="85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</row>
    <row r="216" spans="3:50">
      <c r="C216" s="207" t="s">
        <v>235</v>
      </c>
      <c r="D216" s="208"/>
      <c r="E216" s="208"/>
      <c r="F216" s="208"/>
      <c r="G216" s="208"/>
      <c r="H216" s="208"/>
      <c r="I216" s="209"/>
      <c r="J216" s="44"/>
      <c r="K216" s="156">
        <f t="shared" ca="1" si="26"/>
        <v>1E-4</v>
      </c>
      <c r="L216" s="55"/>
      <c r="M216" s="56"/>
      <c r="N216" s="57"/>
      <c r="O216" s="57"/>
      <c r="P216" s="57"/>
      <c r="Q216" s="57"/>
      <c r="R216" s="58"/>
      <c r="S216" s="59"/>
      <c r="T216" s="170"/>
      <c r="U216" s="84"/>
      <c r="V216" s="85"/>
      <c r="W216" s="85"/>
      <c r="X216" s="53"/>
      <c r="Y216" s="85"/>
      <c r="Z216" s="85"/>
      <c r="AA216" s="53"/>
      <c r="AB216" s="53"/>
      <c r="AC216" s="53"/>
      <c r="AD216" s="53"/>
      <c r="AE216" s="53"/>
      <c r="AF216" s="53"/>
      <c r="AG216" s="53"/>
      <c r="AH216" s="85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</row>
    <row r="217" spans="3:50">
      <c r="C217" s="207" t="s">
        <v>236</v>
      </c>
      <c r="D217" s="208"/>
      <c r="E217" s="208"/>
      <c r="F217" s="208"/>
      <c r="G217" s="208"/>
      <c r="H217" s="208"/>
      <c r="I217" s="209"/>
      <c r="J217" s="44"/>
      <c r="K217" s="156">
        <f t="shared" ca="1" si="26"/>
        <v>1E-4</v>
      </c>
      <c r="L217" s="55"/>
      <c r="M217" s="56"/>
      <c r="N217" s="57"/>
      <c r="O217" s="57"/>
      <c r="P217" s="57"/>
      <c r="Q217" s="57"/>
      <c r="R217" s="58"/>
      <c r="S217" s="59"/>
      <c r="T217" s="170"/>
      <c r="U217" s="84"/>
      <c r="V217" s="85"/>
      <c r="W217" s="85"/>
      <c r="X217" s="53"/>
      <c r="Y217" s="85"/>
      <c r="Z217" s="85"/>
      <c r="AA217" s="53"/>
      <c r="AB217" s="53"/>
      <c r="AC217" s="53"/>
      <c r="AD217" s="53"/>
      <c r="AE217" s="53"/>
      <c r="AF217" s="53"/>
      <c r="AG217" s="53"/>
      <c r="AH217" s="85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</row>
    <row r="218" spans="3:50">
      <c r="C218" s="207" t="s">
        <v>237</v>
      </c>
      <c r="D218" s="208"/>
      <c r="E218" s="208"/>
      <c r="F218" s="208"/>
      <c r="G218" s="208"/>
      <c r="H218" s="208"/>
      <c r="I218" s="209"/>
      <c r="J218" s="44"/>
      <c r="K218" s="156">
        <f t="shared" ca="1" si="26"/>
        <v>1E-4</v>
      </c>
      <c r="L218" s="55"/>
      <c r="M218" s="56"/>
      <c r="N218" s="57"/>
      <c r="O218" s="57"/>
      <c r="P218" s="57"/>
      <c r="Q218" s="57"/>
      <c r="R218" s="58"/>
      <c r="S218" s="59"/>
      <c r="T218" s="170"/>
      <c r="U218" s="84"/>
      <c r="V218" s="85"/>
      <c r="W218" s="85"/>
      <c r="X218" s="53"/>
      <c r="Y218" s="85"/>
      <c r="Z218" s="85"/>
      <c r="AA218" s="53"/>
      <c r="AB218" s="53"/>
      <c r="AC218" s="53"/>
      <c r="AD218" s="53"/>
      <c r="AE218" s="53"/>
      <c r="AF218" s="53"/>
      <c r="AG218" s="53"/>
      <c r="AH218" s="85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</row>
    <row r="219" spans="3:50">
      <c r="C219" s="207" t="s">
        <v>238</v>
      </c>
      <c r="D219" s="208"/>
      <c r="E219" s="208"/>
      <c r="F219" s="208"/>
      <c r="G219" s="208"/>
      <c r="H219" s="208"/>
      <c r="I219" s="209"/>
      <c r="J219" s="44"/>
      <c r="K219" s="156">
        <f t="shared" ca="1" si="26"/>
        <v>1E-4</v>
      </c>
      <c r="L219" s="193"/>
      <c r="M219" s="47"/>
      <c r="N219" s="48"/>
      <c r="O219" s="48"/>
      <c r="P219" s="48"/>
      <c r="Q219" s="48"/>
      <c r="R219" s="49"/>
      <c r="S219" s="194"/>
      <c r="T219" s="195"/>
      <c r="U219" s="84"/>
      <c r="V219" s="85"/>
      <c r="W219" s="196"/>
      <c r="X219" s="53"/>
      <c r="Y219" s="196"/>
      <c r="Z219" s="196"/>
      <c r="AA219" s="60"/>
      <c r="AB219" s="60"/>
      <c r="AC219" s="60"/>
      <c r="AD219" s="60"/>
      <c r="AE219" s="60"/>
      <c r="AF219" s="60"/>
      <c r="AG219" s="60"/>
      <c r="AH219" s="53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</row>
    <row r="220" spans="3:50" ht="15.75" thickBot="1">
      <c r="C220" s="210" t="s">
        <v>239</v>
      </c>
      <c r="D220" s="211"/>
      <c r="E220" s="211"/>
      <c r="F220" s="211"/>
      <c r="G220" s="211"/>
      <c r="H220" s="211"/>
      <c r="I220" s="212"/>
      <c r="J220" s="137"/>
      <c r="K220" s="152">
        <f t="shared" ca="1" si="26"/>
        <v>1E-4</v>
      </c>
      <c r="L220" s="197"/>
      <c r="M220" s="198"/>
      <c r="N220" s="199"/>
      <c r="O220" s="199"/>
      <c r="P220" s="199"/>
      <c r="Q220" s="199"/>
      <c r="R220" s="200"/>
      <c r="S220" s="201"/>
      <c r="T220" s="202"/>
      <c r="U220" s="165"/>
      <c r="V220" s="166"/>
      <c r="W220" s="203"/>
      <c r="X220" s="204"/>
      <c r="Y220" s="203"/>
      <c r="Z220" s="203"/>
      <c r="AA220" s="204"/>
      <c r="AB220" s="204"/>
      <c r="AC220" s="204"/>
      <c r="AD220" s="204"/>
      <c r="AE220" s="204"/>
      <c r="AF220" s="204"/>
      <c r="AG220" s="204"/>
      <c r="AH220" s="167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</row>
    <row r="221" spans="3:50">
      <c r="I221" s="205"/>
      <c r="J221" s="205"/>
      <c r="K221" s="205"/>
    </row>
  </sheetData>
  <mergeCells count="330">
    <mergeCell ref="C4:C7"/>
    <mergeCell ref="H4:I4"/>
    <mergeCell ref="AX1:AX9"/>
    <mergeCell ref="C2:E2"/>
    <mergeCell ref="F2:F3"/>
    <mergeCell ref="G2:G3"/>
    <mergeCell ref="H2:I2"/>
    <mergeCell ref="O2:Q2"/>
    <mergeCell ref="C3:E3"/>
    <mergeCell ref="AO1:AO9"/>
    <mergeCell ref="AP1:AP9"/>
    <mergeCell ref="AQ1:AQ9"/>
    <mergeCell ref="AR1:AR9"/>
    <mergeCell ref="AS1:AS9"/>
    <mergeCell ref="AT1:AT9"/>
    <mergeCell ref="AI1:AI9"/>
    <mergeCell ref="AJ1:AJ9"/>
    <mergeCell ref="AK1:AK9"/>
    <mergeCell ref="AL1:AL9"/>
    <mergeCell ref="AM1:AM9"/>
    <mergeCell ref="AN1:AN9"/>
    <mergeCell ref="AC1:AC9"/>
    <mergeCell ref="AD1:AD9"/>
    <mergeCell ref="AE1:AE9"/>
    <mergeCell ref="AF1:AF9"/>
    <mergeCell ref="AG1:AG9"/>
    <mergeCell ref="O4:Q4"/>
    <mergeCell ref="H5:I5"/>
    <mergeCell ref="O5:Q5"/>
    <mergeCell ref="H6:I6"/>
    <mergeCell ref="O6:Q6"/>
    <mergeCell ref="O7:Q7"/>
    <mergeCell ref="AU1:AU9"/>
    <mergeCell ref="AV1:AV9"/>
    <mergeCell ref="AW1:AW9"/>
    <mergeCell ref="AH1:AH9"/>
    <mergeCell ref="W1:W9"/>
    <mergeCell ref="X1:X9"/>
    <mergeCell ref="Y1:Y9"/>
    <mergeCell ref="Z1:Z9"/>
    <mergeCell ref="AA1:AA9"/>
    <mergeCell ref="AB1:AB9"/>
    <mergeCell ref="C1:I1"/>
    <mergeCell ref="J1:J9"/>
    <mergeCell ref="K1:K9"/>
    <mergeCell ref="O1:Q1"/>
    <mergeCell ref="U1:U9"/>
    <mergeCell ref="V1:V9"/>
    <mergeCell ref="H3:I3"/>
    <mergeCell ref="O3:Q3"/>
    <mergeCell ref="C8:E8"/>
    <mergeCell ref="O8:Q8"/>
    <mergeCell ref="O9:Q9"/>
    <mergeCell ref="C11:C12"/>
    <mergeCell ref="D11:D12"/>
    <mergeCell ref="E11:I11"/>
    <mergeCell ref="J11:J12"/>
    <mergeCell ref="K11:K12"/>
    <mergeCell ref="M11:R12"/>
    <mergeCell ref="C16:I16"/>
    <mergeCell ref="C17:I17"/>
    <mergeCell ref="C18:I18"/>
    <mergeCell ref="C19:I19"/>
    <mergeCell ref="C20:C21"/>
    <mergeCell ref="D20:D21"/>
    <mergeCell ref="E20:I20"/>
    <mergeCell ref="S11:S12"/>
    <mergeCell ref="T11:T12"/>
    <mergeCell ref="E12:I12"/>
    <mergeCell ref="C13:I13"/>
    <mergeCell ref="C14:I14"/>
    <mergeCell ref="C15:I15"/>
    <mergeCell ref="C25:I25"/>
    <mergeCell ref="C26:I26"/>
    <mergeCell ref="C27:I27"/>
    <mergeCell ref="C28:I28"/>
    <mergeCell ref="C29:I29"/>
    <mergeCell ref="C30:I30"/>
    <mergeCell ref="J20:J21"/>
    <mergeCell ref="K20:K21"/>
    <mergeCell ref="E21:I21"/>
    <mergeCell ref="C22:I22"/>
    <mergeCell ref="C23:I23"/>
    <mergeCell ref="C24:I24"/>
    <mergeCell ref="J35:J36"/>
    <mergeCell ref="K35:K36"/>
    <mergeCell ref="E36:I36"/>
    <mergeCell ref="C37:I37"/>
    <mergeCell ref="C38:I38"/>
    <mergeCell ref="C39:I39"/>
    <mergeCell ref="C31:I31"/>
    <mergeCell ref="C32:I32"/>
    <mergeCell ref="C33:I33"/>
    <mergeCell ref="C34:I34"/>
    <mergeCell ref="C35:C36"/>
    <mergeCell ref="D35:D36"/>
    <mergeCell ref="E35:I35"/>
    <mergeCell ref="J44:J45"/>
    <mergeCell ref="K44:K45"/>
    <mergeCell ref="E45:I45"/>
    <mergeCell ref="C46:I46"/>
    <mergeCell ref="C47:I47"/>
    <mergeCell ref="C48:I48"/>
    <mergeCell ref="C40:I40"/>
    <mergeCell ref="C41:I41"/>
    <mergeCell ref="C42:I42"/>
    <mergeCell ref="C43:I43"/>
    <mergeCell ref="C44:C45"/>
    <mergeCell ref="D44:D45"/>
    <mergeCell ref="E44:I44"/>
    <mergeCell ref="K51:K52"/>
    <mergeCell ref="E52:I52"/>
    <mergeCell ref="C53:I53"/>
    <mergeCell ref="C54:I54"/>
    <mergeCell ref="C55:I55"/>
    <mergeCell ref="C56:I56"/>
    <mergeCell ref="C49:I49"/>
    <mergeCell ref="C50:I50"/>
    <mergeCell ref="C51:C52"/>
    <mergeCell ref="D51:D52"/>
    <mergeCell ref="E51:I51"/>
    <mergeCell ref="J51:J52"/>
    <mergeCell ref="C63:I63"/>
    <mergeCell ref="C64:C65"/>
    <mergeCell ref="D64:D65"/>
    <mergeCell ref="E64:I64"/>
    <mergeCell ref="J64:J65"/>
    <mergeCell ref="K64:K65"/>
    <mergeCell ref="E65:I65"/>
    <mergeCell ref="C57:I57"/>
    <mergeCell ref="C58:I58"/>
    <mergeCell ref="C59:I59"/>
    <mergeCell ref="C60:I60"/>
    <mergeCell ref="C61:I61"/>
    <mergeCell ref="C62:I62"/>
    <mergeCell ref="C72:I72"/>
    <mergeCell ref="C73:I73"/>
    <mergeCell ref="C74:I74"/>
    <mergeCell ref="C75:C76"/>
    <mergeCell ref="D75:D76"/>
    <mergeCell ref="E75:I75"/>
    <mergeCell ref="C66:I66"/>
    <mergeCell ref="C67:I67"/>
    <mergeCell ref="C68:I68"/>
    <mergeCell ref="C69:I69"/>
    <mergeCell ref="C70:I70"/>
    <mergeCell ref="C71:I71"/>
    <mergeCell ref="C80:I80"/>
    <mergeCell ref="C81:I81"/>
    <mergeCell ref="C82:I82"/>
    <mergeCell ref="C83:I83"/>
    <mergeCell ref="C84:I84"/>
    <mergeCell ref="C85:I85"/>
    <mergeCell ref="J75:J76"/>
    <mergeCell ref="K75:K76"/>
    <mergeCell ref="E76:I76"/>
    <mergeCell ref="C77:I77"/>
    <mergeCell ref="C78:I78"/>
    <mergeCell ref="C79:I79"/>
    <mergeCell ref="J90:J91"/>
    <mergeCell ref="K90:K91"/>
    <mergeCell ref="E91:I91"/>
    <mergeCell ref="C92:I92"/>
    <mergeCell ref="C93:I93"/>
    <mergeCell ref="C94:I94"/>
    <mergeCell ref="C86:I86"/>
    <mergeCell ref="C87:I87"/>
    <mergeCell ref="C88:I88"/>
    <mergeCell ref="C89:I89"/>
    <mergeCell ref="C90:C91"/>
    <mergeCell ref="D90:D91"/>
    <mergeCell ref="E90:I90"/>
    <mergeCell ref="J99:J100"/>
    <mergeCell ref="K99:K100"/>
    <mergeCell ref="E100:I100"/>
    <mergeCell ref="C101:I101"/>
    <mergeCell ref="C102:I102"/>
    <mergeCell ref="C103:I103"/>
    <mergeCell ref="C95:I95"/>
    <mergeCell ref="C96:I96"/>
    <mergeCell ref="C97:I97"/>
    <mergeCell ref="C98:I98"/>
    <mergeCell ref="C99:C100"/>
    <mergeCell ref="D99:D100"/>
    <mergeCell ref="E99:I99"/>
    <mergeCell ref="C110:I110"/>
    <mergeCell ref="C111:I111"/>
    <mergeCell ref="C112:I112"/>
    <mergeCell ref="C113:I113"/>
    <mergeCell ref="C114:I114"/>
    <mergeCell ref="C115:C116"/>
    <mergeCell ref="D115:D116"/>
    <mergeCell ref="E115:I115"/>
    <mergeCell ref="C104:I104"/>
    <mergeCell ref="C105:I105"/>
    <mergeCell ref="C106:I106"/>
    <mergeCell ref="C107:I107"/>
    <mergeCell ref="C108:I108"/>
    <mergeCell ref="C109:I109"/>
    <mergeCell ref="E120:I120"/>
    <mergeCell ref="C121:I121"/>
    <mergeCell ref="C122:I122"/>
    <mergeCell ref="C123:I123"/>
    <mergeCell ref="C124:I124"/>
    <mergeCell ref="C125:I125"/>
    <mergeCell ref="J115:J116"/>
    <mergeCell ref="K115:K116"/>
    <mergeCell ref="E116:I116"/>
    <mergeCell ref="C117:I117"/>
    <mergeCell ref="C118:I118"/>
    <mergeCell ref="C119:C120"/>
    <mergeCell ref="D119:D120"/>
    <mergeCell ref="E119:I119"/>
    <mergeCell ref="J119:J120"/>
    <mergeCell ref="K119:K120"/>
    <mergeCell ref="C132:I132"/>
    <mergeCell ref="C133:I133"/>
    <mergeCell ref="C134:I134"/>
    <mergeCell ref="C135:I135"/>
    <mergeCell ref="C136:C137"/>
    <mergeCell ref="D136:D137"/>
    <mergeCell ref="E136:I136"/>
    <mergeCell ref="C126:I126"/>
    <mergeCell ref="C127:I127"/>
    <mergeCell ref="C128:I128"/>
    <mergeCell ref="C129:I129"/>
    <mergeCell ref="C130:I130"/>
    <mergeCell ref="C131:I131"/>
    <mergeCell ref="C141:I141"/>
    <mergeCell ref="C142:I142"/>
    <mergeCell ref="C143:I143"/>
    <mergeCell ref="C144:I144"/>
    <mergeCell ref="C145:I145"/>
    <mergeCell ref="C146:I146"/>
    <mergeCell ref="J136:J137"/>
    <mergeCell ref="K136:K137"/>
    <mergeCell ref="E137:I137"/>
    <mergeCell ref="C138:I138"/>
    <mergeCell ref="C139:I139"/>
    <mergeCell ref="C140:I140"/>
    <mergeCell ref="C153:I153"/>
    <mergeCell ref="C154:I154"/>
    <mergeCell ref="C155:I155"/>
    <mergeCell ref="C156:I156"/>
    <mergeCell ref="C157:I157"/>
    <mergeCell ref="C158:I158"/>
    <mergeCell ref="C147:I147"/>
    <mergeCell ref="C148:I148"/>
    <mergeCell ref="C149:I149"/>
    <mergeCell ref="C150:I150"/>
    <mergeCell ref="C151:I151"/>
    <mergeCell ref="C152:I152"/>
    <mergeCell ref="K161:K162"/>
    <mergeCell ref="E162:I162"/>
    <mergeCell ref="C163:I163"/>
    <mergeCell ref="C164:I164"/>
    <mergeCell ref="C165:I165"/>
    <mergeCell ref="C166:I166"/>
    <mergeCell ref="C159:I159"/>
    <mergeCell ref="C160:I160"/>
    <mergeCell ref="C161:C162"/>
    <mergeCell ref="D161:D162"/>
    <mergeCell ref="E161:I161"/>
    <mergeCell ref="J161:J162"/>
    <mergeCell ref="J174:J175"/>
    <mergeCell ref="K174:K175"/>
    <mergeCell ref="E175:I175"/>
    <mergeCell ref="C167:I167"/>
    <mergeCell ref="C168:I168"/>
    <mergeCell ref="C169:I169"/>
    <mergeCell ref="C170:I170"/>
    <mergeCell ref="C171:I171"/>
    <mergeCell ref="C172:I172"/>
    <mergeCell ref="C176:I176"/>
    <mergeCell ref="C177:I177"/>
    <mergeCell ref="C178:I178"/>
    <mergeCell ref="C179:I179"/>
    <mergeCell ref="C180:I180"/>
    <mergeCell ref="C181:I181"/>
    <mergeCell ref="C173:I173"/>
    <mergeCell ref="C174:C175"/>
    <mergeCell ref="D174:D175"/>
    <mergeCell ref="E174:I174"/>
    <mergeCell ref="C188:C189"/>
    <mergeCell ref="D188:D189"/>
    <mergeCell ref="E188:I188"/>
    <mergeCell ref="J188:J189"/>
    <mergeCell ref="K188:K189"/>
    <mergeCell ref="E189:I189"/>
    <mergeCell ref="C182:I182"/>
    <mergeCell ref="C183:I183"/>
    <mergeCell ref="C184:I184"/>
    <mergeCell ref="C185:I185"/>
    <mergeCell ref="C186:I186"/>
    <mergeCell ref="C187:I187"/>
    <mergeCell ref="C196:I196"/>
    <mergeCell ref="C197:I197"/>
    <mergeCell ref="C198:I198"/>
    <mergeCell ref="C199:I199"/>
    <mergeCell ref="C200:I200"/>
    <mergeCell ref="C201:I201"/>
    <mergeCell ref="C190:I190"/>
    <mergeCell ref="C191:I191"/>
    <mergeCell ref="C192:I192"/>
    <mergeCell ref="C193:I193"/>
    <mergeCell ref="C194:I194"/>
    <mergeCell ref="C195:I195"/>
    <mergeCell ref="J205:J206"/>
    <mergeCell ref="K205:K206"/>
    <mergeCell ref="E206:I206"/>
    <mergeCell ref="C207:I207"/>
    <mergeCell ref="C208:I208"/>
    <mergeCell ref="C209:I209"/>
    <mergeCell ref="C202:I202"/>
    <mergeCell ref="C203:I203"/>
    <mergeCell ref="C204:I204"/>
    <mergeCell ref="C205:C206"/>
    <mergeCell ref="D205:D206"/>
    <mergeCell ref="E205:I205"/>
    <mergeCell ref="C216:I216"/>
    <mergeCell ref="C217:I217"/>
    <mergeCell ref="C218:I218"/>
    <mergeCell ref="C219:I219"/>
    <mergeCell ref="C220:I220"/>
    <mergeCell ref="C210:I210"/>
    <mergeCell ref="C211:I211"/>
    <mergeCell ref="C212:I212"/>
    <mergeCell ref="C213:I213"/>
    <mergeCell ref="C214:I214"/>
    <mergeCell ref="C215:I215"/>
  </mergeCells>
  <conditionalFormatting sqref="C9">
    <cfRule type="expression" dxfId="378" priority="754">
      <formula>($B$9&lt;$D$9)</formula>
    </cfRule>
  </conditionalFormatting>
  <conditionalFormatting sqref="C13:C19">
    <cfRule type="expression" dxfId="377" priority="86">
      <formula>(J13=100%)</formula>
    </cfRule>
  </conditionalFormatting>
  <conditionalFormatting sqref="C22:C34">
    <cfRule type="expression" dxfId="376" priority="914">
      <formula>(J22=100%)</formula>
    </cfRule>
  </conditionalFormatting>
  <conditionalFormatting sqref="C37:C43">
    <cfRule type="expression" dxfId="375" priority="80">
      <formula>(J37=100%)</formula>
    </cfRule>
  </conditionalFormatting>
  <conditionalFormatting sqref="C46:C50">
    <cfRule type="expression" dxfId="374" priority="749">
      <formula>(J46=100%)</formula>
    </cfRule>
  </conditionalFormatting>
  <conditionalFormatting sqref="C50">
    <cfRule type="expression" dxfId="373" priority="88">
      <formula>(J17=100%)</formula>
    </cfRule>
  </conditionalFormatting>
  <conditionalFormatting sqref="C53:C63">
    <cfRule type="expression" dxfId="372" priority="78">
      <formula>(J53=100%)</formula>
    </cfRule>
  </conditionalFormatting>
  <conditionalFormatting sqref="C66 I66">
    <cfRule type="expression" dxfId="371" priority="916">
      <formula>(#REF!=100%)</formula>
    </cfRule>
  </conditionalFormatting>
  <conditionalFormatting sqref="C67:C71">
    <cfRule type="expression" dxfId="370" priority="917">
      <formula>(J13=100%)</formula>
    </cfRule>
  </conditionalFormatting>
  <conditionalFormatting sqref="C72:C74">
    <cfRule type="expression" dxfId="369" priority="76">
      <formula>(J72=100%)</formula>
    </cfRule>
  </conditionalFormatting>
  <conditionalFormatting sqref="C77:C89">
    <cfRule type="expression" dxfId="368" priority="74">
      <formula>(J77=100%)</formula>
    </cfRule>
  </conditionalFormatting>
  <conditionalFormatting sqref="C92:C98">
    <cfRule type="expression" dxfId="367" priority="72">
      <formula>(J92=100%)</formula>
    </cfRule>
  </conditionalFormatting>
  <conditionalFormatting sqref="C101:C114">
    <cfRule type="expression" dxfId="366" priority="66">
      <formula>(J101=100%)</formula>
    </cfRule>
  </conditionalFormatting>
  <conditionalFormatting sqref="C113">
    <cfRule type="expression" dxfId="365" priority="920">
      <formula>(#REF!=100%)</formula>
    </cfRule>
  </conditionalFormatting>
  <conditionalFormatting sqref="C117:C118">
    <cfRule type="expression" dxfId="364" priority="64">
      <formula>(J117=100%)</formula>
    </cfRule>
  </conditionalFormatting>
  <conditionalFormatting sqref="C121:C135">
    <cfRule type="expression" dxfId="363" priority="60">
      <formula>(J121=100%)</formula>
    </cfRule>
  </conditionalFormatting>
  <conditionalFormatting sqref="C128:C131">
    <cfRule type="expression" dxfId="362" priority="919">
      <formula>(#REF!=100%)</formula>
    </cfRule>
  </conditionalFormatting>
  <conditionalFormatting sqref="C138:C160">
    <cfRule type="expression" dxfId="361" priority="50">
      <formula>(J138=100%)</formula>
    </cfRule>
  </conditionalFormatting>
  <conditionalFormatting sqref="C163:C173">
    <cfRule type="expression" dxfId="360" priority="46">
      <formula>(J163=100%)</formula>
    </cfRule>
  </conditionalFormatting>
  <conditionalFormatting sqref="C176:C187">
    <cfRule type="expression" dxfId="359" priority="42">
      <formula>(J176=100%)</formula>
    </cfRule>
  </conditionalFormatting>
  <conditionalFormatting sqref="C190:C204">
    <cfRule type="expression" dxfId="358" priority="186">
      <formula>(J190=100%)</formula>
    </cfRule>
  </conditionalFormatting>
  <conditionalFormatting sqref="C207:C220">
    <cfRule type="expression" dxfId="357" priority="294">
      <formula>(J207=100%)</formula>
    </cfRule>
  </conditionalFormatting>
  <conditionalFormatting sqref="D144">
    <cfRule type="expression" dxfId="356" priority="760">
      <formula>(L144=100%)</formula>
    </cfRule>
  </conditionalFormatting>
  <conditionalFormatting sqref="D157:E157">
    <cfRule type="expression" dxfId="355" priority="54">
      <formula>(L157=100%)</formula>
    </cfRule>
  </conditionalFormatting>
  <conditionalFormatting sqref="E144">
    <cfRule type="expression" dxfId="354" priority="918">
      <formula>(U144=100%)</formula>
    </cfRule>
  </conditionalFormatting>
  <conditionalFormatting sqref="F144:H144">
    <cfRule type="expression" dxfId="353" priority="915">
      <formula>(W144=100%)</formula>
    </cfRule>
  </conditionalFormatting>
  <conditionalFormatting sqref="F157:H157">
    <cfRule type="expression" dxfId="352" priority="56">
      <formula>(O157=100%)</formula>
    </cfRule>
  </conditionalFormatting>
  <conditionalFormatting sqref="I13:I15 I22:I23 I34 I37:I38 I43 I53:I56 I77:I78 I80:I82 I98 I105:I108 I117 I121:I122 I135">
    <cfRule type="expression" dxfId="351" priority="761">
      <formula>(U13=100%)</formula>
    </cfRule>
  </conditionalFormatting>
  <conditionalFormatting sqref="I16:I18">
    <cfRule type="expression" dxfId="350" priority="85">
      <formula>(M16=100%)</formula>
    </cfRule>
  </conditionalFormatting>
  <conditionalFormatting sqref="I19">
    <cfRule type="expression" dxfId="349" priority="159">
      <formula>(U19=100%)</formula>
    </cfRule>
  </conditionalFormatting>
  <conditionalFormatting sqref="I39:I41">
    <cfRule type="expression" dxfId="348" priority="79">
      <formula>(M39=100%)</formula>
    </cfRule>
  </conditionalFormatting>
  <conditionalFormatting sqref="I46:I49">
    <cfRule type="expression" dxfId="347" priority="748">
      <formula>(U46=100%)</formula>
    </cfRule>
  </conditionalFormatting>
  <conditionalFormatting sqref="I50">
    <cfRule type="expression" dxfId="346" priority="87">
      <formula>(M17=100%)</formula>
    </cfRule>
  </conditionalFormatting>
  <conditionalFormatting sqref="I58:I62">
    <cfRule type="expression" dxfId="345" priority="77">
      <formula>(M58=100%)</formula>
    </cfRule>
  </conditionalFormatting>
  <conditionalFormatting sqref="I74">
    <cfRule type="expression" dxfId="344" priority="75">
      <formula>(M74=100%)</formula>
    </cfRule>
  </conditionalFormatting>
  <conditionalFormatting sqref="I83:I87">
    <cfRule type="expression" dxfId="343" priority="89">
      <formula>(M83=100%)</formula>
    </cfRule>
  </conditionalFormatting>
  <conditionalFormatting sqref="I89">
    <cfRule type="expression" dxfId="342" priority="73">
      <formula>(M89=100%)</formula>
    </cfRule>
  </conditionalFormatting>
  <conditionalFormatting sqref="I93:I94">
    <cfRule type="expression" dxfId="341" priority="137">
      <formula>(U93=100%)</formula>
    </cfRule>
  </conditionalFormatting>
  <conditionalFormatting sqref="I96">
    <cfRule type="expression" dxfId="340" priority="71">
      <formula>(M96=100%)</formula>
    </cfRule>
  </conditionalFormatting>
  <conditionalFormatting sqref="I101:I103">
    <cfRule type="expression" dxfId="339" priority="203">
      <formula>(U101=100%)</formula>
    </cfRule>
  </conditionalFormatting>
  <conditionalFormatting sqref="I109:I112">
    <cfRule type="expression" dxfId="338" priority="67">
      <formula>(M109=100%)</formula>
    </cfRule>
  </conditionalFormatting>
  <conditionalFormatting sqref="I114">
    <cfRule type="expression" dxfId="337" priority="65">
      <formula>(M114=100%)</formula>
    </cfRule>
  </conditionalFormatting>
  <conditionalFormatting sqref="I118">
    <cfRule type="expression" dxfId="336" priority="63">
      <formula>(M118=100%)</formula>
    </cfRule>
  </conditionalFormatting>
  <conditionalFormatting sqref="I132:I134">
    <cfRule type="expression" dxfId="335" priority="59">
      <formula>(M132=100%)</formula>
    </cfRule>
  </conditionalFormatting>
  <conditionalFormatting sqref="I138:I147">
    <cfRule type="expression" dxfId="334" priority="267">
      <formula>(U138=100%)</formula>
    </cfRule>
  </conditionalFormatting>
  <conditionalFormatting sqref="I153:I160">
    <cfRule type="expression" dxfId="333" priority="49">
      <formula>(M153=100%)</formula>
    </cfRule>
  </conditionalFormatting>
  <conditionalFormatting sqref="I163:I165">
    <cfRule type="expression" dxfId="332" priority="245">
      <formula>(U163=100%)</formula>
    </cfRule>
  </conditionalFormatting>
  <conditionalFormatting sqref="I169:I173">
    <cfRule type="expression" dxfId="331" priority="45">
      <formula>(M169=100%)</formula>
    </cfRule>
  </conditionalFormatting>
  <conditionalFormatting sqref="I176:I178">
    <cfRule type="expression" dxfId="330" priority="743">
      <formula>(U176=100%)</formula>
    </cfRule>
  </conditionalFormatting>
  <conditionalFormatting sqref="I185">
    <cfRule type="expression" dxfId="329" priority="43">
      <formula>(M185=100%)</formula>
    </cfRule>
  </conditionalFormatting>
  <conditionalFormatting sqref="I187">
    <cfRule type="expression" dxfId="328" priority="41">
      <formula>(M187=100%)</formula>
    </cfRule>
  </conditionalFormatting>
  <conditionalFormatting sqref="I190:I204">
    <cfRule type="expression" dxfId="327" priority="181">
      <formula>(U190=100%)</formula>
    </cfRule>
  </conditionalFormatting>
  <conditionalFormatting sqref="I207:I220">
    <cfRule type="expression" dxfId="326" priority="289">
      <formula>(U207=100%)</formula>
    </cfRule>
  </conditionalFormatting>
  <conditionalFormatting sqref="M5">
    <cfRule type="cellIs" dxfId="325" priority="98" operator="equal">
      <formula>$M$3</formula>
    </cfRule>
  </conditionalFormatting>
  <conditionalFormatting sqref="M13:R220">
    <cfRule type="cellIs" dxfId="324" priority="100" operator="equal">
      <formula>$M$1</formula>
    </cfRule>
    <cfRule type="cellIs" dxfId="323" priority="95" operator="equal">
      <formula>$M$7</formula>
    </cfRule>
    <cfRule type="cellIs" dxfId="322" priority="91" operator="equal">
      <formula>$M$4</formula>
    </cfRule>
    <cfRule type="cellIs" dxfId="321" priority="92" operator="equal">
      <formula>$M$6</formula>
    </cfRule>
    <cfRule type="cellIs" dxfId="320" priority="93" operator="equal">
      <formula>$M$8</formula>
    </cfRule>
    <cfRule type="cellIs" dxfId="319" priority="94" operator="equal">
      <formula>$M$9</formula>
    </cfRule>
    <cfRule type="cellIs" dxfId="318" priority="96" operator="equal">
      <formula>$M$5</formula>
    </cfRule>
    <cfRule type="cellIs" dxfId="317" priority="97" operator="equal">
      <formula>$M$3</formula>
    </cfRule>
    <cfRule type="cellIs" dxfId="316" priority="99" operator="equal">
      <formula>$M$2</formula>
    </cfRule>
  </conditionalFormatting>
  <conditionalFormatting sqref="U144:W144 Y144 AA144:AF144 AH144:AJ144 AL144 AN144:AX144">
    <cfRule type="cellIs" dxfId="315" priority="759" stopIfTrue="1" operator="equal">
      <formula>"I"</formula>
    </cfRule>
    <cfRule type="cellIs" dxfId="314" priority="758" stopIfTrue="1" operator="equal">
      <formula>"C"</formula>
    </cfRule>
  </conditionalFormatting>
  <conditionalFormatting sqref="U144:W144 Y144">
    <cfRule type="cellIs" dxfId="313" priority="756" stopIfTrue="1" operator="equal">
      <formula>"R"</formula>
    </cfRule>
    <cfRule type="cellIs" dxfId="312" priority="757" stopIfTrue="1" operator="equal">
      <formula>"A"</formula>
    </cfRule>
  </conditionalFormatting>
  <conditionalFormatting sqref="U11:Y11 AA11:AF11 AH11:AJ11 AL11 AN11:AX11 AD13 W13:W14 AE13:AE14 AH13:AK14 AN13:AN14 AP13:AU14 AA13:AC15 AF13:AF15 AW13:AX15 U13:V16 X14:Y14 AL14 AO14 AV14:AV15 AG14:AG16 W15:X15 AH15:AI15 AN15:AU15 W16:Y16 AA16:AF16 AH16:AJ16 AL16 AN16:AX16 U22:Y34 AA22:AF34 AH22:AJ34 AL22:AL34 AN22:AX34 U37:AX43 U47:Y50 AA47:AF50 AH47:AJ50 AL47:AL50 AN47:AX50 U53:AX63 U72:AX74 U77:AX89 U92:AX93 U102:Y102 AA102:AF102 AH102:AJ102 AL102 AN102:AX102 U105:Y114 AA105:AF114 AH105:AJ114 AL105:AL114 AN105:AX114 U121:AX135 U138:AX140 U142:Y143 AA142:AF143 AH142:AJ143 AL142:AL143 AN142:AX143 X144 U145:AX160 U163:Y163 AA163:AF163 AH163:AJ163 AL163 AN163:AX163 Z165:AX172 U165:Y173 AA173:AF173 AH173:AJ173 AL173 AN173:AX173 U176:Y176 AA176:AF176 AH176:AJ176 AL176 AN176:AX176 U177:AX187 U190:Y190 AA190:AF190 AH190:AJ190 AL190 AN190:AX190 U192:Y200 AA192:AF200 AH192:AJ200 AL192:AL200 AN192:AX200 U202:Y204 AA202:AF204 AH202:AJ204 AL202:AL204 AN202:AX204 U207:Y207 AA207:AF207 AH207:AJ207 AL207 AN207:AX207 U211:Y215 AA211:AF215 AH211:AJ215 AL211:AL215 AN211:AX215 W217:Y218 AA217:AF218 AH217:AJ218 AL217:AL218 AN217:AX218 U217:V220">
    <cfRule type="cellIs" dxfId="311" priority="912" stopIfTrue="1" operator="equal">
      <formula>"C"</formula>
    </cfRule>
    <cfRule type="cellIs" dxfId="310" priority="913" stopIfTrue="1" operator="equal">
      <formula>"I"</formula>
    </cfRule>
  </conditionalFormatting>
  <conditionalFormatting sqref="U22:Y35">
    <cfRule type="cellIs" dxfId="309" priority="811" stopIfTrue="1" operator="equal">
      <formula>"A"</formula>
    </cfRule>
  </conditionalFormatting>
  <conditionalFormatting sqref="U35:Y35 AA35:AF35 AH35:AJ35 AL35 AN35:AX35">
    <cfRule type="cellIs" dxfId="308" priority="812" stopIfTrue="1" operator="equal">
      <formula>"C"</formula>
    </cfRule>
    <cfRule type="cellIs" dxfId="307" priority="813" stopIfTrue="1" operator="equal">
      <formula>"I"</formula>
    </cfRule>
  </conditionalFormatting>
  <conditionalFormatting sqref="U46:Y46 AA46:AF46 AH46:AJ46 AL46 AN46:AX46">
    <cfRule type="cellIs" dxfId="306" priority="747" stopIfTrue="1" operator="equal">
      <formula>"I"</formula>
    </cfRule>
    <cfRule type="cellIs" dxfId="305" priority="746" stopIfTrue="1" operator="equal">
      <formula>"C"</formula>
    </cfRule>
  </conditionalFormatting>
  <conditionalFormatting sqref="U46:Y50 AA46:AF50 AH46:AJ50 AL46:AL50 AN46:AX50">
    <cfRule type="cellIs" dxfId="304" priority="745" stopIfTrue="1" operator="equal">
      <formula>"A"</formula>
    </cfRule>
  </conditionalFormatting>
  <conditionalFormatting sqref="U51:Y51 AA51:AF51 AH51:AJ51 AL51 AN51:AX51">
    <cfRule type="cellIs" dxfId="303" priority="120" stopIfTrue="1" operator="equal">
      <formula>"I"</formula>
    </cfRule>
    <cfRule type="cellIs" dxfId="302" priority="119" stopIfTrue="1" operator="equal">
      <formula>"C"</formula>
    </cfRule>
    <cfRule type="cellIs" dxfId="301" priority="118" stopIfTrue="1" operator="equal">
      <formula>"A"</formula>
    </cfRule>
  </conditionalFormatting>
  <conditionalFormatting sqref="U98:Y98">
    <cfRule type="cellIs" dxfId="300" priority="837" stopIfTrue="1" operator="equal">
      <formula>"I"</formula>
    </cfRule>
    <cfRule type="cellIs" dxfId="299" priority="835" stopIfTrue="1" operator="equal">
      <formula>"A"</formula>
    </cfRule>
    <cfRule type="cellIs" dxfId="298" priority="836" stopIfTrue="1" operator="equal">
      <formula>"C"</formula>
    </cfRule>
    <cfRule type="cellIs" dxfId="297" priority="834" stopIfTrue="1" operator="equal">
      <formula>"R"</formula>
    </cfRule>
  </conditionalFormatting>
  <conditionalFormatting sqref="U99:Y99">
    <cfRule type="cellIs" dxfId="296" priority="790" stopIfTrue="1" operator="equal">
      <formula>"R"</formula>
    </cfRule>
    <cfRule type="cellIs" dxfId="295" priority="791" stopIfTrue="1" operator="equal">
      <formula>"A"</formula>
    </cfRule>
    <cfRule type="cellIs" dxfId="294" priority="792" stopIfTrue="1" operator="equal">
      <formula>"C"</formula>
    </cfRule>
    <cfRule type="cellIs" dxfId="293" priority="793" stopIfTrue="1" operator="equal">
      <formula>"I"</formula>
    </cfRule>
  </conditionalFormatting>
  <conditionalFormatting sqref="U101:Y101 AA101:AF101 AH101:AJ101 AL101 AN101:AX101">
    <cfRule type="cellIs" dxfId="292" priority="841" stopIfTrue="1" operator="equal">
      <formula>"I"</formula>
    </cfRule>
    <cfRule type="cellIs" dxfId="291" priority="840" stopIfTrue="1" operator="equal">
      <formula>"C"</formula>
    </cfRule>
  </conditionalFormatting>
  <conditionalFormatting sqref="U101:Y102 AA101:AF102 AH101:AJ102 AL101:AL102 AN101:AX102">
    <cfRule type="cellIs" dxfId="290" priority="839" stopIfTrue="1" operator="equal">
      <formula>"A"</formula>
    </cfRule>
  </conditionalFormatting>
  <conditionalFormatting sqref="U103:Y104 AA103:AF104 AH103:AJ104 AL103:AL104 AN103:AX104">
    <cfRule type="cellIs" dxfId="289" priority="207" stopIfTrue="1" operator="equal">
      <formula>"I"</formula>
    </cfRule>
    <cfRule type="cellIs" dxfId="288" priority="206" stopIfTrue="1" operator="equal">
      <formula>"C"</formula>
    </cfRule>
    <cfRule type="cellIs" dxfId="287" priority="205" stopIfTrue="1" operator="equal">
      <formula>"A"</formula>
    </cfRule>
  </conditionalFormatting>
  <conditionalFormatting sqref="U115:Y115 AA115:AF115 AH115:AJ115 AL115 AN115:AX115">
    <cfRule type="cellIs" dxfId="286" priority="788" stopIfTrue="1" operator="equal">
      <formula>"C"</formula>
    </cfRule>
    <cfRule type="cellIs" dxfId="285" priority="789" stopIfTrue="1" operator="equal">
      <formula>"I"</formula>
    </cfRule>
  </conditionalFormatting>
  <conditionalFormatting sqref="U115:Y115">
    <cfRule type="cellIs" dxfId="284" priority="787" stopIfTrue="1" operator="equal">
      <formula>"A"</formula>
    </cfRule>
    <cfRule type="cellIs" dxfId="283" priority="786" stopIfTrue="1" operator="equal">
      <formula>"R"</formula>
    </cfRule>
  </conditionalFormatting>
  <conditionalFormatting sqref="U164:Y164 AA164:AF164 AH164:AJ164 AL164 AN164:AX164">
    <cfRule type="cellIs" dxfId="282" priority="248" stopIfTrue="1" operator="equal">
      <formula>"C"</formula>
    </cfRule>
    <cfRule type="cellIs" dxfId="281" priority="247" stopIfTrue="1" operator="equal">
      <formula>"A"</formula>
    </cfRule>
    <cfRule type="cellIs" dxfId="280" priority="249" stopIfTrue="1" operator="equal">
      <formula>"I"</formula>
    </cfRule>
  </conditionalFormatting>
  <conditionalFormatting sqref="U165:Y174">
    <cfRule type="cellIs" dxfId="279" priority="771" stopIfTrue="1" operator="equal">
      <formula>"A"</formula>
    </cfRule>
  </conditionalFormatting>
  <conditionalFormatting sqref="U174:Y174 AA174:AF174 AH174:AJ174 AL174 AN174:AX174">
    <cfRule type="cellIs" dxfId="278" priority="772" stopIfTrue="1" operator="equal">
      <formula>"C"</formula>
    </cfRule>
    <cfRule type="cellIs" dxfId="277" priority="773" stopIfTrue="1" operator="equal">
      <formula>"I"</formula>
    </cfRule>
  </conditionalFormatting>
  <conditionalFormatting sqref="U190:Y200 AA190:AF200 AH190:AJ200 AL190:AL200 AN190:AX200">
    <cfRule type="cellIs" dxfId="276" priority="739" stopIfTrue="1" operator="equal">
      <formula>"A"</formula>
    </cfRule>
  </conditionalFormatting>
  <conditionalFormatting sqref="U191:Y191 AA191:AF191 AH191:AJ191 AL191 AN191:AX191">
    <cfRule type="cellIs" dxfId="275" priority="740" stopIfTrue="1" operator="equal">
      <formula>"C"</formula>
    </cfRule>
    <cfRule type="cellIs" dxfId="274" priority="741" stopIfTrue="1" operator="equal">
      <formula>"I"</formula>
    </cfRule>
  </conditionalFormatting>
  <conditionalFormatting sqref="U201:Y201 AA201:AF201 AH201:AJ201 AL201 AN201:AX201">
    <cfRule type="cellIs" dxfId="273" priority="184" stopIfTrue="1" operator="equal">
      <formula>"C"</formula>
    </cfRule>
    <cfRule type="cellIs" dxfId="272" priority="183" stopIfTrue="1" operator="equal">
      <formula>"A"</formula>
    </cfRule>
    <cfRule type="cellIs" dxfId="271" priority="185" stopIfTrue="1" operator="equal">
      <formula>"I"</formula>
    </cfRule>
  </conditionalFormatting>
  <conditionalFormatting sqref="U202:Y205 AA202:AF205 AH202:AJ205 AL202:AL205 AN202:AX205">
    <cfRule type="cellIs" dxfId="270" priority="763" stopIfTrue="1" operator="equal">
      <formula>"A"</formula>
    </cfRule>
  </conditionalFormatting>
  <conditionalFormatting sqref="U205:Y205 AA205:AF205 AH205:AJ205 AL205 AN205:AX205">
    <cfRule type="cellIs" dxfId="269" priority="764" stopIfTrue="1" operator="equal">
      <formula>"C"</formula>
    </cfRule>
    <cfRule type="cellIs" dxfId="268" priority="765" stopIfTrue="1" operator="equal">
      <formula>"I"</formula>
    </cfRule>
  </conditionalFormatting>
  <conditionalFormatting sqref="U208:Y208 AA208:AF208 AH208:AJ208 AL208 AN208:AX208">
    <cfRule type="cellIs" dxfId="267" priority="292" stopIfTrue="1" operator="equal">
      <formula>"C"</formula>
    </cfRule>
    <cfRule type="cellIs" dxfId="266" priority="293" stopIfTrue="1" operator="equal">
      <formula>"I"</formula>
    </cfRule>
    <cfRule type="cellIs" dxfId="265" priority="291" stopIfTrue="1" operator="equal">
      <formula>"A"</formula>
    </cfRule>
  </conditionalFormatting>
  <conditionalFormatting sqref="U210:Y210 AA210:AF210 AH210:AJ210 AL210 AN210:AX210">
    <cfRule type="cellIs" dxfId="264" priority="313" stopIfTrue="1" operator="equal">
      <formula>"A"</formula>
    </cfRule>
    <cfRule type="cellIs" dxfId="263" priority="314" stopIfTrue="1" operator="equal">
      <formula>"C"</formula>
    </cfRule>
    <cfRule type="cellIs" dxfId="262" priority="315" stopIfTrue="1" operator="equal">
      <formula>"I"</formula>
    </cfRule>
  </conditionalFormatting>
  <conditionalFormatting sqref="U216:Y216 AA216:AF216 AH216:AJ216 AL216 AN216:AX216">
    <cfRule type="cellIs" dxfId="261" priority="358" stopIfTrue="1" operator="equal">
      <formula>"C"</formula>
    </cfRule>
    <cfRule type="cellIs" dxfId="260" priority="357" stopIfTrue="1" operator="equal">
      <formula>"A"</formula>
    </cfRule>
    <cfRule type="cellIs" dxfId="259" priority="359" stopIfTrue="1" operator="equal">
      <formula>"I"</formula>
    </cfRule>
  </conditionalFormatting>
  <conditionalFormatting sqref="U11:AX11 Z14 W16:AF16 W217:AX218 U176:AX187">
    <cfRule type="cellIs" dxfId="258" priority="454" stopIfTrue="1" operator="equal">
      <formula>"A"</formula>
    </cfRule>
  </conditionalFormatting>
  <conditionalFormatting sqref="U17:AX20">
    <cfRule type="cellIs" dxfId="257" priority="146" stopIfTrue="1" operator="equal">
      <formula>"I"</formula>
    </cfRule>
    <cfRule type="cellIs" dxfId="256" priority="143" stopIfTrue="1" operator="equal">
      <formula>"R"</formula>
    </cfRule>
    <cfRule type="cellIs" dxfId="255" priority="144" stopIfTrue="1" operator="equal">
      <formula>"A"</formula>
    </cfRule>
    <cfRule type="cellIs" dxfId="254" priority="145" stopIfTrue="1" operator="equal">
      <formula>"C"</formula>
    </cfRule>
  </conditionalFormatting>
  <conditionalFormatting sqref="U22:AX35">
    <cfRule type="cellIs" dxfId="253" priority="425" stopIfTrue="1" operator="equal">
      <formula>"R"</formula>
    </cfRule>
  </conditionalFormatting>
  <conditionalFormatting sqref="U37:AX44">
    <cfRule type="cellIs" dxfId="252" priority="421" stopIfTrue="1" operator="equal">
      <formula>"R"</formula>
    </cfRule>
  </conditionalFormatting>
  <conditionalFormatting sqref="U44:AX44">
    <cfRule type="cellIs" dxfId="251" priority="423" stopIfTrue="1" operator="equal">
      <formula>"C"</formula>
    </cfRule>
    <cfRule type="cellIs" dxfId="250" priority="424" stopIfTrue="1" operator="equal">
      <formula>"I"</formula>
    </cfRule>
    <cfRule type="cellIs" dxfId="249" priority="422" stopIfTrue="1" operator="equal">
      <formula>"A"</formula>
    </cfRule>
  </conditionalFormatting>
  <conditionalFormatting sqref="U46:AX51">
    <cfRule type="cellIs" dxfId="248" priority="101" stopIfTrue="1" operator="equal">
      <formula>"R"</formula>
    </cfRule>
  </conditionalFormatting>
  <conditionalFormatting sqref="U53:AX64">
    <cfRule type="cellIs" dxfId="247" priority="417" stopIfTrue="1" operator="equal">
      <formula>"R"</formula>
    </cfRule>
  </conditionalFormatting>
  <conditionalFormatting sqref="U64:AX64">
    <cfRule type="cellIs" dxfId="246" priority="420" stopIfTrue="1" operator="equal">
      <formula>"I"</formula>
    </cfRule>
    <cfRule type="cellIs" dxfId="245" priority="419" stopIfTrue="1" operator="equal">
      <formula>"C"</formula>
    </cfRule>
    <cfRule type="cellIs" dxfId="244" priority="418" stopIfTrue="1" operator="equal">
      <formula>"A"</formula>
    </cfRule>
  </conditionalFormatting>
  <conditionalFormatting sqref="U66:AX71">
    <cfRule type="cellIs" dxfId="243" priority="443" stopIfTrue="1" operator="equal">
      <formula>"C"</formula>
    </cfRule>
    <cfRule type="cellIs" dxfId="242" priority="444" stopIfTrue="1" operator="equal">
      <formula>"I"</formula>
    </cfRule>
  </conditionalFormatting>
  <conditionalFormatting sqref="U66:AX74">
    <cfRule type="cellIs" dxfId="241" priority="442" stopIfTrue="1" operator="equal">
      <formula>"A"</formula>
    </cfRule>
  </conditionalFormatting>
  <conditionalFormatting sqref="U66:AX75">
    <cfRule type="cellIs" dxfId="240" priority="413" stopIfTrue="1" operator="equal">
      <formula>"R"</formula>
    </cfRule>
  </conditionalFormatting>
  <conditionalFormatting sqref="U75:AX75">
    <cfRule type="cellIs" dxfId="239" priority="416" stopIfTrue="1" operator="equal">
      <formula>"I"</formula>
    </cfRule>
    <cfRule type="cellIs" dxfId="238" priority="415" stopIfTrue="1" operator="equal">
      <formula>"C"</formula>
    </cfRule>
    <cfRule type="cellIs" dxfId="237" priority="414" stopIfTrue="1" operator="equal">
      <formula>"A"</formula>
    </cfRule>
  </conditionalFormatting>
  <conditionalFormatting sqref="U77:AX90">
    <cfRule type="cellIs" dxfId="236" priority="409" stopIfTrue="1" operator="equal">
      <formula>"R"</formula>
    </cfRule>
  </conditionalFormatting>
  <conditionalFormatting sqref="U90:AX90">
    <cfRule type="cellIs" dxfId="235" priority="410" stopIfTrue="1" operator="equal">
      <formula>"A"</formula>
    </cfRule>
    <cfRule type="cellIs" dxfId="234" priority="411" stopIfTrue="1" operator="equal">
      <formula>"C"</formula>
    </cfRule>
    <cfRule type="cellIs" dxfId="233" priority="412" stopIfTrue="1" operator="equal">
      <formula>"I"</formula>
    </cfRule>
  </conditionalFormatting>
  <conditionalFormatting sqref="U92:AX97">
    <cfRule type="cellIs" dxfId="232" priority="1" stopIfTrue="1" operator="equal">
      <formula>"R"</formula>
    </cfRule>
  </conditionalFormatting>
  <conditionalFormatting sqref="U94:AX97">
    <cfRule type="cellIs" dxfId="231" priority="2" stopIfTrue="1" operator="equal">
      <formula>"A"</formula>
    </cfRule>
    <cfRule type="cellIs" dxfId="230" priority="3" stopIfTrue="1" operator="equal">
      <formula>"C"</formula>
    </cfRule>
    <cfRule type="cellIs" dxfId="229" priority="4" stopIfTrue="1" operator="equal">
      <formula>"I"</formula>
    </cfRule>
  </conditionalFormatting>
  <conditionalFormatting sqref="U101:AX104">
    <cfRule type="cellIs" dxfId="228" priority="187" stopIfTrue="1" operator="equal">
      <formula>"R"</formula>
    </cfRule>
  </conditionalFormatting>
  <conditionalFormatting sqref="U117:AX119">
    <cfRule type="cellIs" dxfId="227" priority="22" stopIfTrue="1" operator="equal">
      <formula>"A"</formula>
    </cfRule>
    <cfRule type="cellIs" dxfId="226" priority="21" stopIfTrue="1" operator="equal">
      <formula>"R"</formula>
    </cfRule>
    <cfRule type="cellIs" dxfId="225" priority="23" stopIfTrue="1" operator="equal">
      <formula>"C"</formula>
    </cfRule>
    <cfRule type="cellIs" dxfId="224" priority="24" stopIfTrue="1" operator="equal">
      <formula>"I"</formula>
    </cfRule>
  </conditionalFormatting>
  <conditionalFormatting sqref="U121:AX136">
    <cfRule type="cellIs" dxfId="223" priority="393" stopIfTrue="1" operator="equal">
      <formula>"R"</formula>
    </cfRule>
  </conditionalFormatting>
  <conditionalFormatting sqref="U136:AX136">
    <cfRule type="cellIs" dxfId="222" priority="394" stopIfTrue="1" operator="equal">
      <formula>"A"</formula>
    </cfRule>
    <cfRule type="cellIs" dxfId="221" priority="396" stopIfTrue="1" operator="equal">
      <formula>"I"</formula>
    </cfRule>
    <cfRule type="cellIs" dxfId="220" priority="395" stopIfTrue="1" operator="equal">
      <formula>"C"</formula>
    </cfRule>
  </conditionalFormatting>
  <conditionalFormatting sqref="U138:AX141">
    <cfRule type="cellIs" dxfId="219" priority="251" stopIfTrue="1" operator="equal">
      <formula>"R"</formula>
    </cfRule>
  </conditionalFormatting>
  <conditionalFormatting sqref="U141:AX141">
    <cfRule type="cellIs" dxfId="218" priority="253" stopIfTrue="1" operator="equal">
      <formula>"C"</formula>
    </cfRule>
    <cfRule type="cellIs" dxfId="217" priority="254" stopIfTrue="1" operator="equal">
      <formula>"I"</formula>
    </cfRule>
    <cfRule type="cellIs" dxfId="216" priority="252" stopIfTrue="1" operator="equal">
      <formula>"A"</formula>
    </cfRule>
  </conditionalFormatting>
  <conditionalFormatting sqref="U145:AX161">
    <cfRule type="cellIs" dxfId="215" priority="389" stopIfTrue="1" operator="equal">
      <formula>"R"</formula>
    </cfRule>
  </conditionalFormatting>
  <conditionalFormatting sqref="U161:AX161">
    <cfRule type="cellIs" dxfId="214" priority="392" stopIfTrue="1" operator="equal">
      <formula>"I"</formula>
    </cfRule>
    <cfRule type="cellIs" dxfId="213" priority="390" stopIfTrue="1" operator="equal">
      <formula>"A"</formula>
    </cfRule>
    <cfRule type="cellIs" dxfId="212" priority="391" stopIfTrue="1" operator="equal">
      <formula>"C"</formula>
    </cfRule>
  </conditionalFormatting>
  <conditionalFormatting sqref="U163:AX174">
    <cfRule type="cellIs" dxfId="211" priority="229" stopIfTrue="1" operator="equal">
      <formula>"R"</formula>
    </cfRule>
  </conditionalFormatting>
  <conditionalFormatting sqref="U176:AX188">
    <cfRule type="cellIs" dxfId="210" priority="381" stopIfTrue="1" operator="equal">
      <formula>"R"</formula>
    </cfRule>
  </conditionalFormatting>
  <conditionalFormatting sqref="U188:AX188">
    <cfRule type="cellIs" dxfId="209" priority="383" stopIfTrue="1" operator="equal">
      <formula>"C"</formula>
    </cfRule>
    <cfRule type="cellIs" dxfId="208" priority="382" stopIfTrue="1" operator="equal">
      <formula>"A"</formula>
    </cfRule>
    <cfRule type="cellIs" dxfId="207" priority="384" stopIfTrue="1" operator="equal">
      <formula>"I"</formula>
    </cfRule>
  </conditionalFormatting>
  <conditionalFormatting sqref="U190:AX205">
    <cfRule type="cellIs" dxfId="206" priority="165" stopIfTrue="1" operator="equal">
      <formula>"R"</formula>
    </cfRule>
  </conditionalFormatting>
  <conditionalFormatting sqref="U207:AX216">
    <cfRule type="cellIs" dxfId="205" priority="273" stopIfTrue="1" operator="equal">
      <formula>"R"</formula>
    </cfRule>
  </conditionalFormatting>
  <conditionalFormatting sqref="U209:AX209">
    <cfRule type="cellIs" dxfId="204" priority="320" stopIfTrue="1" operator="equal">
      <formula>"I"</formula>
    </cfRule>
    <cfRule type="cellIs" dxfId="203" priority="318" stopIfTrue="1" operator="equal">
      <formula>"A"</formula>
    </cfRule>
    <cfRule type="cellIs" dxfId="202" priority="319" stopIfTrue="1" operator="equal">
      <formula>"C"</formula>
    </cfRule>
  </conditionalFormatting>
  <conditionalFormatting sqref="X98">
    <cfRule type="cellIs" dxfId="201" priority="831" stopIfTrue="1" operator="equal">
      <formula>"A"</formula>
    </cfRule>
    <cfRule type="cellIs" dxfId="200" priority="830" stopIfTrue="1" operator="equal">
      <formula>"R"</formula>
    </cfRule>
    <cfRule type="cellIs" dxfId="199" priority="832" stopIfTrue="1" operator="equal">
      <formula>"C"</formula>
    </cfRule>
    <cfRule type="cellIs" dxfId="198" priority="833" stopIfTrue="1" operator="equal">
      <formula>"I"</formula>
    </cfRule>
  </conditionalFormatting>
  <conditionalFormatting sqref="X105">
    <cfRule type="cellIs" dxfId="197" priority="888" stopIfTrue="1" operator="equal">
      <formula>"C"</formula>
    </cfRule>
    <cfRule type="cellIs" dxfId="196" priority="887" stopIfTrue="1" operator="equal">
      <formula>"A"</formula>
    </cfRule>
    <cfRule type="cellIs" dxfId="195" priority="886" stopIfTrue="1" operator="equal">
      <formula>"R"</formula>
    </cfRule>
    <cfRule type="cellIs" dxfId="194" priority="889" stopIfTrue="1" operator="equal">
      <formula>"I"</formula>
    </cfRule>
  </conditionalFormatting>
  <conditionalFormatting sqref="X143:X144">
    <cfRule type="cellIs" dxfId="193" priority="890" stopIfTrue="1" operator="equal">
      <formula>"R"</formula>
    </cfRule>
    <cfRule type="cellIs" dxfId="192" priority="891" stopIfTrue="1" operator="equal">
      <formula>"A"</formula>
    </cfRule>
    <cfRule type="cellIs" dxfId="191" priority="892" stopIfTrue="1" operator="equal">
      <formula>"C"</formula>
    </cfRule>
    <cfRule type="cellIs" dxfId="190" priority="893" stopIfTrue="1" operator="equal">
      <formula>"I"</formula>
    </cfRule>
  </conditionalFormatting>
  <conditionalFormatting sqref="X219">
    <cfRule type="cellIs" dxfId="189" priority="827" stopIfTrue="1" operator="equal">
      <formula>"A"</formula>
    </cfRule>
    <cfRule type="cellIs" dxfId="188" priority="828" stopIfTrue="1" operator="equal">
      <formula>"C"</formula>
    </cfRule>
    <cfRule type="cellIs" dxfId="187" priority="829" stopIfTrue="1" operator="equal">
      <formula>"I"</formula>
    </cfRule>
    <cfRule type="cellIs" dxfId="186" priority="826" stopIfTrue="1" operator="equal">
      <formula>"R"</formula>
    </cfRule>
  </conditionalFormatting>
  <conditionalFormatting sqref="X13:Y15">
    <cfRule type="cellIs" dxfId="185" priority="858" stopIfTrue="1" operator="equal">
      <formula>"R"</formula>
    </cfRule>
    <cfRule type="cellIs" dxfId="184" priority="860" stopIfTrue="1" operator="equal">
      <formula>"C"</formula>
    </cfRule>
    <cfRule type="cellIs" dxfId="183" priority="859" stopIfTrue="1" operator="equal">
      <formula>"A"</formula>
    </cfRule>
    <cfRule type="cellIs" dxfId="182" priority="861" stopIfTrue="1" operator="equal">
      <formula>"I"</formula>
    </cfRule>
  </conditionalFormatting>
  <conditionalFormatting sqref="Z11 Z14 Z16 Z176 Z217:Z218">
    <cfRule type="cellIs" dxfId="181" priority="455" stopIfTrue="1" operator="equal">
      <formula>"C"</formula>
    </cfRule>
    <cfRule type="cellIs" dxfId="180" priority="456" stopIfTrue="1" operator="equal">
      <formula>"I"</formula>
    </cfRule>
  </conditionalFormatting>
  <conditionalFormatting sqref="Z14 U11:AX11 W16:AF16 W217:AX218">
    <cfRule type="cellIs" dxfId="179" priority="453" stopIfTrue="1" operator="equal">
      <formula>"R"</formula>
    </cfRule>
  </conditionalFormatting>
  <conditionalFormatting sqref="Z15">
    <cfRule type="cellIs" dxfId="178" priority="448" stopIfTrue="1" operator="equal">
      <formula>"I"</formula>
    </cfRule>
    <cfRule type="cellIs" dxfId="177" priority="447" stopIfTrue="1" operator="equal">
      <formula>"C"</formula>
    </cfRule>
    <cfRule type="cellIs" dxfId="176" priority="445" stopIfTrue="1" operator="equal">
      <formula>"R"</formula>
    </cfRule>
    <cfRule type="cellIs" dxfId="175" priority="446" stopIfTrue="1" operator="equal">
      <formula>"A"</formula>
    </cfRule>
  </conditionalFormatting>
  <conditionalFormatting sqref="Z22:Z35">
    <cfRule type="cellIs" dxfId="174" priority="426" stopIfTrue="1" operator="equal">
      <formula>"A"</formula>
    </cfRule>
    <cfRule type="cellIs" dxfId="173" priority="427" stopIfTrue="1" operator="equal">
      <formula>"C"</formula>
    </cfRule>
    <cfRule type="cellIs" dxfId="172" priority="428" stopIfTrue="1" operator="equal">
      <formula>"I"</formula>
    </cfRule>
  </conditionalFormatting>
  <conditionalFormatting sqref="Z46:Z51">
    <cfRule type="cellIs" dxfId="171" priority="102" stopIfTrue="1" operator="equal">
      <formula>"A"</formula>
    </cfRule>
    <cfRule type="cellIs" dxfId="170" priority="103" stopIfTrue="1" operator="equal">
      <formula>"C"</formula>
    </cfRule>
    <cfRule type="cellIs" dxfId="169" priority="104" stopIfTrue="1" operator="equal">
      <formula>"I"</formula>
    </cfRule>
  </conditionalFormatting>
  <conditionalFormatting sqref="Z101:Z104">
    <cfRule type="cellIs" dxfId="168" priority="189" stopIfTrue="1" operator="equal">
      <formula>"C"</formula>
    </cfRule>
    <cfRule type="cellIs" dxfId="167" priority="188" stopIfTrue="1" operator="equal">
      <formula>"A"</formula>
    </cfRule>
    <cfRule type="cellIs" dxfId="166" priority="190" stopIfTrue="1" operator="equal">
      <formula>"I"</formula>
    </cfRule>
  </conditionalFormatting>
  <conditionalFormatting sqref="Z105:Z115">
    <cfRule type="cellIs" dxfId="165" priority="402" stopIfTrue="1" operator="equal">
      <formula>"A"</formula>
    </cfRule>
    <cfRule type="cellIs" dxfId="164" priority="403" stopIfTrue="1" operator="equal">
      <formula>"C"</formula>
    </cfRule>
    <cfRule type="cellIs" dxfId="163" priority="404" stopIfTrue="1" operator="equal">
      <formula>"I"</formula>
    </cfRule>
  </conditionalFormatting>
  <conditionalFormatting sqref="Z142:Z144">
    <cfRule type="cellIs" dxfId="162" priority="376" stopIfTrue="1" operator="equal">
      <formula>"I"</formula>
    </cfRule>
    <cfRule type="cellIs" dxfId="161" priority="374" stopIfTrue="1" operator="equal">
      <formula>"A"</formula>
    </cfRule>
    <cfRule type="cellIs" dxfId="160" priority="375" stopIfTrue="1" operator="equal">
      <formula>"C"</formula>
    </cfRule>
  </conditionalFormatting>
  <conditionalFormatting sqref="Z163:Z164">
    <cfRule type="cellIs" dxfId="159" priority="230" stopIfTrue="1" operator="equal">
      <formula>"A"</formula>
    </cfRule>
    <cfRule type="cellIs" dxfId="158" priority="232" stopIfTrue="1" operator="equal">
      <formula>"I"</formula>
    </cfRule>
    <cfRule type="cellIs" dxfId="157" priority="231" stopIfTrue="1" operator="equal">
      <formula>"C"</formula>
    </cfRule>
  </conditionalFormatting>
  <conditionalFormatting sqref="Z173:Z174">
    <cfRule type="cellIs" dxfId="156" priority="386" stopIfTrue="1" operator="equal">
      <formula>"A"</formula>
    </cfRule>
    <cfRule type="cellIs" dxfId="155" priority="387" stopIfTrue="1" operator="equal">
      <formula>"C"</formula>
    </cfRule>
    <cfRule type="cellIs" dxfId="154" priority="388" stopIfTrue="1" operator="equal">
      <formula>"I"</formula>
    </cfRule>
  </conditionalFormatting>
  <conditionalFormatting sqref="Z190:Z205">
    <cfRule type="cellIs" dxfId="153" priority="166" stopIfTrue="1" operator="equal">
      <formula>"A"</formula>
    </cfRule>
    <cfRule type="cellIs" dxfId="152" priority="167" stopIfTrue="1" operator="equal">
      <formula>"C"</formula>
    </cfRule>
    <cfRule type="cellIs" dxfId="151" priority="168" stopIfTrue="1" operator="equal">
      <formula>"I"</formula>
    </cfRule>
  </conditionalFormatting>
  <conditionalFormatting sqref="Z207:Z208">
    <cfRule type="cellIs" dxfId="150" priority="274" stopIfTrue="1" operator="equal">
      <formula>"A"</formula>
    </cfRule>
    <cfRule type="cellIs" dxfId="149" priority="275" stopIfTrue="1" operator="equal">
      <formula>"C"</formula>
    </cfRule>
    <cfRule type="cellIs" dxfId="148" priority="276" stopIfTrue="1" operator="equal">
      <formula>"I"</formula>
    </cfRule>
  </conditionalFormatting>
  <conditionalFormatting sqref="Z210:Z216">
    <cfRule type="cellIs" dxfId="147" priority="298" stopIfTrue="1" operator="equal">
      <formula>"I"</formula>
    </cfRule>
    <cfRule type="cellIs" dxfId="146" priority="297" stopIfTrue="1" operator="equal">
      <formula>"C"</formula>
    </cfRule>
    <cfRule type="cellIs" dxfId="145" priority="296" stopIfTrue="1" operator="equal">
      <formula>"A"</formula>
    </cfRule>
  </conditionalFormatting>
  <conditionalFormatting sqref="Z13:AA14">
    <cfRule type="cellIs" dxfId="144" priority="451" stopIfTrue="1" operator="equal">
      <formula>"C"</formula>
    </cfRule>
    <cfRule type="cellIs" dxfId="143" priority="449" stopIfTrue="1" operator="equal">
      <formula>"R"</formula>
    </cfRule>
    <cfRule type="cellIs" dxfId="142" priority="450" stopIfTrue="1" operator="equal">
      <formula>"A"</formula>
    </cfRule>
    <cfRule type="cellIs" dxfId="141" priority="452" stopIfTrue="1" operator="equal">
      <formula>"I"</formula>
    </cfRule>
  </conditionalFormatting>
  <conditionalFormatting sqref="Z98:AX99">
    <cfRule type="cellIs" dxfId="140" priority="408" stopIfTrue="1" operator="equal">
      <formula>"I"</formula>
    </cfRule>
    <cfRule type="cellIs" dxfId="139" priority="405" stopIfTrue="1" operator="equal">
      <formula>"R"</formula>
    </cfRule>
    <cfRule type="cellIs" dxfId="138" priority="406" stopIfTrue="1" operator="equal">
      <formula>"A"</formula>
    </cfRule>
    <cfRule type="cellIs" dxfId="137" priority="407" stopIfTrue="1" operator="equal">
      <formula>"C"</formula>
    </cfRule>
  </conditionalFormatting>
  <conditionalFormatting sqref="Z105:AX115">
    <cfRule type="cellIs" dxfId="136" priority="401" stopIfTrue="1" operator="equal">
      <formula>"R"</formula>
    </cfRule>
  </conditionalFormatting>
  <conditionalFormatting sqref="Z142:AX144">
    <cfRule type="cellIs" dxfId="135" priority="373" stopIfTrue="1" operator="equal">
      <formula>"R"</formula>
    </cfRule>
  </conditionalFormatting>
  <conditionalFormatting sqref="AA22:AX35">
    <cfRule type="cellIs" dxfId="134" priority="522" stopIfTrue="1" operator="equal">
      <formula>"A"</formula>
    </cfRule>
  </conditionalFormatting>
  <conditionalFormatting sqref="AA105:AX115">
    <cfRule type="cellIs" dxfId="133" priority="498" stopIfTrue="1" operator="equal">
      <formula>"A"</formula>
    </cfRule>
  </conditionalFormatting>
  <conditionalFormatting sqref="AA142:AX144">
    <cfRule type="cellIs" dxfId="132" priority="470" stopIfTrue="1" operator="equal">
      <formula>"A"</formula>
    </cfRule>
  </conditionalFormatting>
  <conditionalFormatting sqref="AA173:AX174">
    <cfRule type="cellIs" dxfId="131" priority="482" stopIfTrue="1" operator="equal">
      <formula>"A"</formula>
    </cfRule>
  </conditionalFormatting>
  <conditionalFormatting sqref="AD13 W13:W14 AN13:AN14 AP13:AU14 AA13:AC15 AW13:AX15 U13:V16 X14:Y14 AL14 AO14 AV14:AV15 AG14:AG16 W15:X15 AN15:AU15 U105:Y114 U142:Y143 X144 U217:V220 U37:AX43 U53:AX63 U77:AX89 U92:AX93 U121:AX135 U138:AX140 U145:AX160 U163:Y163 AA163:AF163 AH163:AJ163 AL163 AN163:AX163 Z165:AX172 U207:Y207 AA207:AF207 AH207:AJ207 AL207 AN207:AX207 U211:Y215 AA211:AF215 AH211:AJ215 AL211:AL215 AN211:AX215">
    <cfRule type="cellIs" dxfId="130" priority="911" stopIfTrue="1" operator="equal">
      <formula>"A"</formula>
    </cfRule>
  </conditionalFormatting>
  <conditionalFormatting sqref="AD15">
    <cfRule type="cellIs" dxfId="129" priority="869" stopIfTrue="1" operator="equal">
      <formula>"I"</formula>
    </cfRule>
    <cfRule type="cellIs" dxfId="128" priority="868" stopIfTrue="1" operator="equal">
      <formula>"C"</formula>
    </cfRule>
    <cfRule type="cellIs" dxfId="127" priority="867" stopIfTrue="1" operator="equal">
      <formula>"A"</formula>
    </cfRule>
    <cfRule type="cellIs" dxfId="126" priority="866" stopIfTrue="1" operator="equal">
      <formula>"R"</formula>
    </cfRule>
  </conditionalFormatting>
  <conditionalFormatting sqref="AE15">
    <cfRule type="cellIs" dxfId="125" priority="865" stopIfTrue="1" operator="equal">
      <formula>"I"</formula>
    </cfRule>
    <cfRule type="cellIs" dxfId="124" priority="864" stopIfTrue="1" operator="equal">
      <formula>"C"</formula>
    </cfRule>
  </conditionalFormatting>
  <conditionalFormatting sqref="AE13:AF15">
    <cfRule type="cellIs" dxfId="123" priority="863" stopIfTrue="1" operator="equal">
      <formula>"A"</formula>
    </cfRule>
    <cfRule type="cellIs" dxfId="122" priority="862" stopIfTrue="1" operator="equal">
      <formula>"R"</formula>
    </cfRule>
  </conditionalFormatting>
  <conditionalFormatting sqref="AG11 AG176 AG217:AG218">
    <cfRule type="cellIs" dxfId="121" priority="735" stopIfTrue="1" operator="equal">
      <formula>"C"</formula>
    </cfRule>
    <cfRule type="cellIs" dxfId="120" priority="736" stopIfTrue="1" operator="equal">
      <formula>"I"</formula>
    </cfRule>
  </conditionalFormatting>
  <conditionalFormatting sqref="AG13:AG14">
    <cfRule type="cellIs" dxfId="119" priority="732" stopIfTrue="1" operator="equal">
      <formula>"I"</formula>
    </cfRule>
    <cfRule type="cellIs" dxfId="118" priority="731" stopIfTrue="1" operator="equal">
      <formula>"C"</formula>
    </cfRule>
  </conditionalFormatting>
  <conditionalFormatting sqref="AG22:AG35">
    <cfRule type="cellIs" dxfId="117" priority="711" stopIfTrue="1" operator="equal">
      <formula>"C"</formula>
    </cfRule>
    <cfRule type="cellIs" dxfId="116" priority="712" stopIfTrue="1" operator="equal">
      <formula>"I"</formula>
    </cfRule>
  </conditionalFormatting>
  <conditionalFormatting sqref="AG46:AG51">
    <cfRule type="cellIs" dxfId="115" priority="115" stopIfTrue="1" operator="equal">
      <formula>"C"</formula>
    </cfRule>
    <cfRule type="cellIs" dxfId="114" priority="116" stopIfTrue="1" operator="equal">
      <formula>"I"</formula>
    </cfRule>
    <cfRule type="cellIs" dxfId="113" priority="114" stopIfTrue="1" operator="equal">
      <formula>"A"</formula>
    </cfRule>
  </conditionalFormatting>
  <conditionalFormatting sqref="AG101:AG104">
    <cfRule type="cellIs" dxfId="112" priority="202" stopIfTrue="1" operator="equal">
      <formula>"I"</formula>
    </cfRule>
    <cfRule type="cellIs" dxfId="111" priority="201" stopIfTrue="1" operator="equal">
      <formula>"C"</formula>
    </cfRule>
    <cfRule type="cellIs" dxfId="110" priority="200" stopIfTrue="1" operator="equal">
      <formula>"A"</formula>
    </cfRule>
  </conditionalFormatting>
  <conditionalFormatting sqref="AG105:AG115">
    <cfRule type="cellIs" dxfId="109" priority="687" stopIfTrue="1" operator="equal">
      <formula>"C"</formula>
    </cfRule>
    <cfRule type="cellIs" dxfId="108" priority="688" stopIfTrue="1" operator="equal">
      <formula>"I"</formula>
    </cfRule>
  </conditionalFormatting>
  <conditionalFormatting sqref="AG142:AG144">
    <cfRule type="cellIs" dxfId="107" priority="660" stopIfTrue="1" operator="equal">
      <formula>"I"</formula>
    </cfRule>
    <cfRule type="cellIs" dxfId="106" priority="659" stopIfTrue="1" operator="equal">
      <formula>"C"</formula>
    </cfRule>
  </conditionalFormatting>
  <conditionalFormatting sqref="AG163:AG164">
    <cfRule type="cellIs" dxfId="105" priority="242" stopIfTrue="1" operator="equal">
      <formula>"A"</formula>
    </cfRule>
    <cfRule type="cellIs" dxfId="104" priority="244" stopIfTrue="1" operator="equal">
      <formula>"I"</formula>
    </cfRule>
    <cfRule type="cellIs" dxfId="103" priority="243" stopIfTrue="1" operator="equal">
      <formula>"C"</formula>
    </cfRule>
  </conditionalFormatting>
  <conditionalFormatting sqref="AG173:AG174">
    <cfRule type="cellIs" dxfId="102" priority="671" stopIfTrue="1" operator="equal">
      <formula>"C"</formula>
    </cfRule>
    <cfRule type="cellIs" dxfId="101" priority="672" stopIfTrue="1" operator="equal">
      <formula>"I"</formula>
    </cfRule>
  </conditionalFormatting>
  <conditionalFormatting sqref="AG190:AG205">
    <cfRule type="cellIs" dxfId="100" priority="179" stopIfTrue="1" operator="equal">
      <formula>"C"</formula>
    </cfRule>
    <cfRule type="cellIs" dxfId="99" priority="178" stopIfTrue="1" operator="equal">
      <formula>"A"</formula>
    </cfRule>
    <cfRule type="cellIs" dxfId="98" priority="180" stopIfTrue="1" operator="equal">
      <formula>"I"</formula>
    </cfRule>
  </conditionalFormatting>
  <conditionalFormatting sqref="AG207:AG208">
    <cfRule type="cellIs" dxfId="97" priority="288" stopIfTrue="1" operator="equal">
      <formula>"I"</formula>
    </cfRule>
    <cfRule type="cellIs" dxfId="96" priority="287" stopIfTrue="1" operator="equal">
      <formula>"C"</formula>
    </cfRule>
    <cfRule type="cellIs" dxfId="95" priority="286" stopIfTrue="1" operator="equal">
      <formula>"A"</formula>
    </cfRule>
  </conditionalFormatting>
  <conditionalFormatting sqref="AG210:AG216">
    <cfRule type="cellIs" dxfId="94" priority="310" stopIfTrue="1" operator="equal">
      <formula>"I"</formula>
    </cfRule>
    <cfRule type="cellIs" dxfId="93" priority="309" stopIfTrue="1" operator="equal">
      <formula>"C"</formula>
    </cfRule>
    <cfRule type="cellIs" dxfId="92" priority="308" stopIfTrue="1" operator="equal">
      <formula>"A"</formula>
    </cfRule>
  </conditionalFormatting>
  <conditionalFormatting sqref="AG13:AK14">
    <cfRule type="cellIs" dxfId="91" priority="730" stopIfTrue="1" operator="equal">
      <formula>"A"</formula>
    </cfRule>
  </conditionalFormatting>
  <conditionalFormatting sqref="AG13:AP14">
    <cfRule type="cellIs" dxfId="90" priority="545" stopIfTrue="1" operator="equal">
      <formula>"R"</formula>
    </cfRule>
  </conditionalFormatting>
  <conditionalFormatting sqref="AH219:AH220">
    <cfRule type="cellIs" dxfId="89" priority="821" stopIfTrue="1" operator="equal">
      <formula>"I"</formula>
    </cfRule>
    <cfRule type="cellIs" dxfId="88" priority="818" stopIfTrue="1" operator="equal">
      <formula>"R"</formula>
    </cfRule>
    <cfRule type="cellIs" dxfId="87" priority="819" stopIfTrue="1" operator="equal">
      <formula>"A"</formula>
    </cfRule>
    <cfRule type="cellIs" dxfId="86" priority="820" stopIfTrue="1" operator="equal">
      <formula>"C"</formula>
    </cfRule>
  </conditionalFormatting>
  <conditionalFormatting sqref="AH15:AK16">
    <cfRule type="cellIs" dxfId="85" priority="638" stopIfTrue="1" operator="equal">
      <formula>"A"</formula>
    </cfRule>
  </conditionalFormatting>
  <conditionalFormatting sqref="AH15:AL16">
    <cfRule type="cellIs" dxfId="84" priority="637" stopIfTrue="1" operator="equal">
      <formula>"R"</formula>
    </cfRule>
  </conditionalFormatting>
  <conditionalFormatting sqref="AJ15">
    <cfRule type="cellIs" dxfId="83" priority="856" stopIfTrue="1" operator="equal">
      <formula>"C"</formula>
    </cfRule>
    <cfRule type="cellIs" dxfId="82" priority="857" stopIfTrue="1" operator="equal">
      <formula>"I"</formula>
    </cfRule>
  </conditionalFormatting>
  <conditionalFormatting sqref="AK11 AK176 AK217:AK218">
    <cfRule type="cellIs" dxfId="81" priority="643" stopIfTrue="1" operator="equal">
      <formula>"C"</formula>
    </cfRule>
    <cfRule type="cellIs" dxfId="80" priority="644" stopIfTrue="1" operator="equal">
      <formula>"I"</formula>
    </cfRule>
  </conditionalFormatting>
  <conditionalFormatting sqref="AK15:AK16">
    <cfRule type="cellIs" dxfId="79" priority="640" stopIfTrue="1" operator="equal">
      <formula>"I"</formula>
    </cfRule>
    <cfRule type="cellIs" dxfId="78" priority="639" stopIfTrue="1" operator="equal">
      <formula>"C"</formula>
    </cfRule>
  </conditionalFormatting>
  <conditionalFormatting sqref="AK22:AK35">
    <cfRule type="cellIs" dxfId="77" priority="620" stopIfTrue="1" operator="equal">
      <formula>"I"</formula>
    </cfRule>
    <cfRule type="cellIs" dxfId="76" priority="619" stopIfTrue="1" operator="equal">
      <formula>"C"</formula>
    </cfRule>
  </conditionalFormatting>
  <conditionalFormatting sqref="AK46:AK51">
    <cfRule type="cellIs" dxfId="75" priority="112" stopIfTrue="1" operator="equal">
      <formula>"I"</formula>
    </cfRule>
    <cfRule type="cellIs" dxfId="74" priority="111" stopIfTrue="1" operator="equal">
      <formula>"C"</formula>
    </cfRule>
    <cfRule type="cellIs" dxfId="73" priority="110" stopIfTrue="1" operator="equal">
      <formula>"A"</formula>
    </cfRule>
  </conditionalFormatting>
  <conditionalFormatting sqref="AK101:AK104">
    <cfRule type="cellIs" dxfId="72" priority="198" stopIfTrue="1" operator="equal">
      <formula>"I"</formula>
    </cfRule>
    <cfRule type="cellIs" dxfId="71" priority="197" stopIfTrue="1" operator="equal">
      <formula>"C"</formula>
    </cfRule>
    <cfRule type="cellIs" dxfId="70" priority="196" stopIfTrue="1" operator="equal">
      <formula>"A"</formula>
    </cfRule>
  </conditionalFormatting>
  <conditionalFormatting sqref="AK105:AK115">
    <cfRule type="cellIs" dxfId="69" priority="596" stopIfTrue="1" operator="equal">
      <formula>"I"</formula>
    </cfRule>
    <cfRule type="cellIs" dxfId="68" priority="595" stopIfTrue="1" operator="equal">
      <formula>"C"</formula>
    </cfRule>
  </conditionalFormatting>
  <conditionalFormatting sqref="AK142:AK144">
    <cfRule type="cellIs" dxfId="67" priority="567" stopIfTrue="1" operator="equal">
      <formula>"C"</formula>
    </cfRule>
    <cfRule type="cellIs" dxfId="66" priority="568" stopIfTrue="1" operator="equal">
      <formula>"I"</formula>
    </cfRule>
  </conditionalFormatting>
  <conditionalFormatting sqref="AK163:AK164">
    <cfRule type="cellIs" dxfId="65" priority="238" stopIfTrue="1" operator="equal">
      <formula>"A"</formula>
    </cfRule>
    <cfRule type="cellIs" dxfId="64" priority="239" stopIfTrue="1" operator="equal">
      <formula>"C"</formula>
    </cfRule>
    <cfRule type="cellIs" dxfId="63" priority="240" stopIfTrue="1" operator="equal">
      <formula>"I"</formula>
    </cfRule>
  </conditionalFormatting>
  <conditionalFormatting sqref="AK173:AK174">
    <cfRule type="cellIs" dxfId="62" priority="579" stopIfTrue="1" operator="equal">
      <formula>"C"</formula>
    </cfRule>
    <cfRule type="cellIs" dxfId="61" priority="580" stopIfTrue="1" operator="equal">
      <formula>"I"</formula>
    </cfRule>
  </conditionalFormatting>
  <conditionalFormatting sqref="AK190:AK205">
    <cfRule type="cellIs" dxfId="60" priority="174" stopIfTrue="1" operator="equal">
      <formula>"A"</formula>
    </cfRule>
    <cfRule type="cellIs" dxfId="59" priority="175" stopIfTrue="1" operator="equal">
      <formula>"C"</formula>
    </cfRule>
    <cfRule type="cellIs" dxfId="58" priority="176" stopIfTrue="1" operator="equal">
      <formula>"I"</formula>
    </cfRule>
  </conditionalFormatting>
  <conditionalFormatting sqref="AK207:AK208">
    <cfRule type="cellIs" dxfId="57" priority="282" stopIfTrue="1" operator="equal">
      <formula>"A"</formula>
    </cfRule>
    <cfRule type="cellIs" dxfId="56" priority="284" stopIfTrue="1" operator="equal">
      <formula>"I"</formula>
    </cfRule>
    <cfRule type="cellIs" dxfId="55" priority="283" stopIfTrue="1" operator="equal">
      <formula>"C"</formula>
    </cfRule>
  </conditionalFormatting>
  <conditionalFormatting sqref="AK210:AK216">
    <cfRule type="cellIs" dxfId="54" priority="304" stopIfTrue="1" operator="equal">
      <formula>"A"</formula>
    </cfRule>
    <cfRule type="cellIs" dxfId="53" priority="305" stopIfTrue="1" operator="equal">
      <formula>"C"</formula>
    </cfRule>
    <cfRule type="cellIs" dxfId="52" priority="306" stopIfTrue="1" operator="equal">
      <formula>"I"</formula>
    </cfRule>
  </conditionalFormatting>
  <conditionalFormatting sqref="AL13:AL15">
    <cfRule type="cellIs" dxfId="51" priority="852" stopIfTrue="1" operator="equal">
      <formula>"C"</formula>
    </cfRule>
    <cfRule type="cellIs" dxfId="50" priority="853" stopIfTrue="1" operator="equal">
      <formula>"I"</formula>
    </cfRule>
  </conditionalFormatting>
  <conditionalFormatting sqref="AL13:AL16">
    <cfRule type="cellIs" dxfId="49" priority="851" stopIfTrue="1" operator="equal">
      <formula>"A"</formula>
    </cfRule>
  </conditionalFormatting>
  <conditionalFormatting sqref="AM11 AM14 AM16 AM176 AM217:AM218">
    <cfRule type="cellIs" dxfId="48" priority="552" stopIfTrue="1" operator="equal">
      <formula>"I"</formula>
    </cfRule>
    <cfRule type="cellIs" dxfId="47" priority="551" stopIfTrue="1" operator="equal">
      <formula>"C"</formula>
    </cfRule>
  </conditionalFormatting>
  <conditionalFormatting sqref="AM13:AM14">
    <cfRule type="cellIs" dxfId="46" priority="548" stopIfTrue="1" operator="equal">
      <formula>"I"</formula>
    </cfRule>
  </conditionalFormatting>
  <conditionalFormatting sqref="AM14 AM16:AX16">
    <cfRule type="cellIs" dxfId="45" priority="550" stopIfTrue="1" operator="equal">
      <formula>"A"</formula>
    </cfRule>
    <cfRule type="cellIs" dxfId="44" priority="549" stopIfTrue="1" operator="equal">
      <formula>"R"</formula>
    </cfRule>
  </conditionalFormatting>
  <conditionalFormatting sqref="AM15">
    <cfRule type="cellIs" dxfId="43" priority="541" stopIfTrue="1" operator="equal">
      <formula>"R"</formula>
    </cfRule>
    <cfRule type="cellIs" dxfId="42" priority="544" stopIfTrue="1" operator="equal">
      <formula>"I"</formula>
    </cfRule>
    <cfRule type="cellIs" dxfId="41" priority="543" stopIfTrue="1" operator="equal">
      <formula>"C"</formula>
    </cfRule>
    <cfRule type="cellIs" dxfId="40" priority="542" stopIfTrue="1" operator="equal">
      <formula>"A"</formula>
    </cfRule>
  </conditionalFormatting>
  <conditionalFormatting sqref="AM22:AM35">
    <cfRule type="cellIs" dxfId="39" priority="524" stopIfTrue="1" operator="equal">
      <formula>"I"</formula>
    </cfRule>
    <cfRule type="cellIs" dxfId="38" priority="523" stopIfTrue="1" operator="equal">
      <formula>"C"</formula>
    </cfRule>
  </conditionalFormatting>
  <conditionalFormatting sqref="AM46:AM51">
    <cfRule type="cellIs" dxfId="37" priority="108" stopIfTrue="1" operator="equal">
      <formula>"I"</formula>
    </cfRule>
    <cfRule type="cellIs" dxfId="36" priority="107" stopIfTrue="1" operator="equal">
      <formula>"C"</formula>
    </cfRule>
    <cfRule type="cellIs" dxfId="35" priority="106" stopIfTrue="1" operator="equal">
      <formula>"A"</formula>
    </cfRule>
  </conditionalFormatting>
  <conditionalFormatting sqref="AM101:AM104">
    <cfRule type="cellIs" dxfId="34" priority="194" stopIfTrue="1" operator="equal">
      <formula>"I"</formula>
    </cfRule>
    <cfRule type="cellIs" dxfId="33" priority="192" stopIfTrue="1" operator="equal">
      <formula>"A"</formula>
    </cfRule>
    <cfRule type="cellIs" dxfId="32" priority="193" stopIfTrue="1" operator="equal">
      <formula>"C"</formula>
    </cfRule>
  </conditionalFormatting>
  <conditionalFormatting sqref="AM105:AM115">
    <cfRule type="cellIs" dxfId="31" priority="499" stopIfTrue="1" operator="equal">
      <formula>"C"</formula>
    </cfRule>
    <cfRule type="cellIs" dxfId="30" priority="500" stopIfTrue="1" operator="equal">
      <formula>"I"</formula>
    </cfRule>
  </conditionalFormatting>
  <conditionalFormatting sqref="AM142:AM144">
    <cfRule type="cellIs" dxfId="29" priority="472" stopIfTrue="1" operator="equal">
      <formula>"I"</formula>
    </cfRule>
    <cfRule type="cellIs" dxfId="28" priority="471" stopIfTrue="1" operator="equal">
      <formula>"C"</formula>
    </cfRule>
  </conditionalFormatting>
  <conditionalFormatting sqref="AM163:AM164">
    <cfRule type="cellIs" dxfId="27" priority="234" stopIfTrue="1" operator="equal">
      <formula>"A"</formula>
    </cfRule>
    <cfRule type="cellIs" dxfId="26" priority="236" stopIfTrue="1" operator="equal">
      <formula>"I"</formula>
    </cfRule>
    <cfRule type="cellIs" dxfId="25" priority="235" stopIfTrue="1" operator="equal">
      <formula>"C"</formula>
    </cfRule>
  </conditionalFormatting>
  <conditionalFormatting sqref="AM173:AM174">
    <cfRule type="cellIs" dxfId="24" priority="483" stopIfTrue="1" operator="equal">
      <formula>"C"</formula>
    </cfRule>
    <cfRule type="cellIs" dxfId="23" priority="484" stopIfTrue="1" operator="equal">
      <formula>"I"</formula>
    </cfRule>
  </conditionalFormatting>
  <conditionalFormatting sqref="AM190:AM205">
    <cfRule type="cellIs" dxfId="22" priority="170" stopIfTrue="1" operator="equal">
      <formula>"A"</formula>
    </cfRule>
    <cfRule type="cellIs" dxfId="21" priority="171" stopIfTrue="1" operator="equal">
      <formula>"C"</formula>
    </cfRule>
    <cfRule type="cellIs" dxfId="20" priority="172" stopIfTrue="1" operator="equal">
      <formula>"I"</formula>
    </cfRule>
  </conditionalFormatting>
  <conditionalFormatting sqref="AM207:AM208">
    <cfRule type="cellIs" dxfId="19" priority="278" stopIfTrue="1" operator="equal">
      <formula>"A"</formula>
    </cfRule>
    <cfRule type="cellIs" dxfId="18" priority="279" stopIfTrue="1" operator="equal">
      <formula>"C"</formula>
    </cfRule>
    <cfRule type="cellIs" dxfId="17" priority="280" stopIfTrue="1" operator="equal">
      <formula>"I"</formula>
    </cfRule>
  </conditionalFormatting>
  <conditionalFormatting sqref="AM210:AM216">
    <cfRule type="cellIs" dxfId="16" priority="301" stopIfTrue="1" operator="equal">
      <formula>"C"</formula>
    </cfRule>
    <cfRule type="cellIs" dxfId="15" priority="300" stopIfTrue="1" operator="equal">
      <formula>"A"</formula>
    </cfRule>
    <cfRule type="cellIs" dxfId="14" priority="302" stopIfTrue="1" operator="equal">
      <formula>"I"</formula>
    </cfRule>
  </conditionalFormatting>
  <conditionalFormatting sqref="AM13:AP14">
    <cfRule type="cellIs" dxfId="13" priority="547" stopIfTrue="1" operator="equal">
      <formula>"C"</formula>
    </cfRule>
    <cfRule type="cellIs" dxfId="12" priority="546" stopIfTrue="1" operator="equal">
      <formula>"A"</formula>
    </cfRule>
  </conditionalFormatting>
  <conditionalFormatting sqref="AN13:AP14">
    <cfRule type="cellIs" dxfId="11" priority="905" stopIfTrue="1" operator="equal">
      <formula>"I"</formula>
    </cfRule>
  </conditionalFormatting>
  <conditionalFormatting sqref="AP13:AU14 AN13:AN14 AO14 AV14:AV15 AN15:AU15 U142:Y143 X144 U105:Y114 W15:X15 AA13:AC15 X14:Y14 AL14 AG14:AG16 AD13 W13:W14 AW13:AX15 U13:V16 U217:V220">
    <cfRule type="cellIs" dxfId="10" priority="910" stopIfTrue="1" operator="equal">
      <formula>"R"</formula>
    </cfRule>
  </conditionalFormatting>
  <conditionalFormatting sqref="AR13:AR14">
    <cfRule type="cellIs" dxfId="9" priority="908" stopIfTrue="1" operator="equal">
      <formula>"C"</formula>
    </cfRule>
    <cfRule type="cellIs" dxfId="8" priority="909" stopIfTrue="1" operator="equal">
      <formula>"I"</formula>
    </cfRule>
  </conditionalFormatting>
  <conditionalFormatting sqref="AR13:AR15">
    <cfRule type="cellIs" dxfId="7" priority="895" stopIfTrue="1" operator="equal">
      <formula>"A"</formula>
    </cfRule>
    <cfRule type="cellIs" dxfId="6" priority="894" stopIfTrue="1" operator="equal">
      <formula>"R"</formula>
    </cfRule>
  </conditionalFormatting>
  <conditionalFormatting sqref="AR15">
    <cfRule type="cellIs" dxfId="5" priority="896" stopIfTrue="1" operator="equal">
      <formula>"C"</formula>
    </cfRule>
    <cfRule type="cellIs" dxfId="4" priority="897" stopIfTrue="1" operator="equal">
      <formula>"I"</formula>
    </cfRule>
  </conditionalFormatting>
  <conditionalFormatting sqref="AV13:AV14">
    <cfRule type="cellIs" dxfId="3" priority="899" stopIfTrue="1" operator="equal">
      <formula>"A"</formula>
    </cfRule>
    <cfRule type="cellIs" dxfId="2" priority="900" stopIfTrue="1" operator="equal">
      <formula>"C"</formula>
    </cfRule>
    <cfRule type="cellIs" dxfId="1" priority="901" stopIfTrue="1" operator="equal">
      <formula>"I"</formula>
    </cfRule>
    <cfRule type="cellIs" dxfId="0" priority="898" stopIfTrue="1" operator="equal">
      <formula>"R"</formula>
    </cfRule>
  </conditionalFormatting>
  <dataValidations count="1">
    <dataValidation type="list" allowBlank="1" showInputMessage="1" showErrorMessage="1" sqref="M46:R50 M92:R98 M138:R160 M176:R187 M117:R118 M66:R74 M121:R135 M101:R114 M77:R89 M53:R63 M22:R34 M37:R43 M13:R19 M163:R173" xr:uid="{0ABF1BD4-C70E-45EA-A592-319571D7309A}">
      <formula1>$M$1:$M$9</formula1>
    </dataValidation>
  </dataValidations>
  <pageMargins left="0.7" right="0.7" top="0.75" bottom="0.75" header="0.3" footer="0.3"/>
  <pageSetup paperSize="17" scale="2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AA-D3.1-Calendrier Préliminaire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2025-10-16T18:01:34Z</dcterms:created>
  <dcterms:modified xsi:type="dcterms:W3CDTF">2025-10-23T17:53:01Z</dcterms:modified>
</cp:coreProperties>
</file>